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heets/sheet1.xml" ContentType="application/vnd.openxmlformats-officedocument.spreadsheetml.chartsheet+xml"/>
  <Override PartName="/xl/worksheets/sheet3.xml" ContentType="application/vnd.openxmlformats-officedocument.spreadsheetml.work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worksheets/sheet4.xml" ContentType="application/vnd.openxmlformats-officedocument.spreadsheetml.worksheet+xml"/>
  <Override PartName="/xl/chartsheets/sheet6.xml" ContentType="application/vnd.openxmlformats-officedocument.spreadsheetml.chart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drawings/drawing3.xml" ContentType="application/vnd.openxmlformats-officedocument.drawingml.chartshapes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drawings/drawing6.xml" ContentType="application/vnd.openxmlformats-officedocument.drawing+xml"/>
  <Override PartName="/xl/charts/chart3.xml" ContentType="application/vnd.openxmlformats-officedocument.drawingml.chart+xml"/>
  <Override PartName="/xl/drawings/drawing7.xml" ContentType="application/vnd.openxmlformats-officedocument.drawing+xml"/>
  <Override PartName="/xl/charts/chart4.xml" ContentType="application/vnd.openxmlformats-officedocument.drawingml.chart+xml"/>
  <Override PartName="/xl/drawings/drawing8.xml" ContentType="application/vnd.openxmlformats-officedocument.drawing+xml"/>
  <Override PartName="/xl/charts/chart5.xml" ContentType="application/vnd.openxmlformats-officedocument.drawingml.chart+xml"/>
  <Override PartName="/xl/drawings/drawing9.xml" ContentType="application/vnd.openxmlformats-officedocument.drawing+xml"/>
  <Override PartName="/xl/charts/chart6.xml" ContentType="application/vnd.openxmlformats-officedocument.drawingml.chart+xml"/>
  <Override PartName="/xl/drawings/drawing10.xml" ContentType="application/vnd.openxmlformats-officedocument.drawingml.chartshape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Proojet\Curso e E-books\Irrigação\Avaliação de Pivô Central\E Book\Português\"/>
    </mc:Choice>
  </mc:AlternateContent>
  <xr:revisionPtr revIDLastSave="0" documentId="13_ncr:1_{065BF89E-8233-42EA-8D98-FBCD15EFA908}" xr6:coauthVersionLast="47" xr6:coauthVersionMax="47" xr10:uidLastSave="{00000000-0000-0000-0000-000000000000}"/>
  <bookViews>
    <workbookView xWindow="-108" yWindow="-108" windowWidth="23256" windowHeight="12456" tabRatio="598" activeTab="1" xr2:uid="{6BD7B0F2-2A6D-49B9-B619-5D39582FD4D2}"/>
  </bookViews>
  <sheets>
    <sheet name="Capa" sheetId="28" r:id="rId1"/>
    <sheet name="Uniformidade dados" sheetId="2" r:id="rId2"/>
    <sheet name="Uniformidade grafico" sheetId="10" r:id="rId3"/>
    <sheet name="Hidro dados" sheetId="5" r:id="rId4"/>
    <sheet name="Hidro gráfico DxVxP" sheetId="15" r:id="rId5"/>
    <sheet name="Hidro Gráfico Diametro" sheetId="22" r:id="rId6"/>
    <sheet name="Hidro Gráfico Vazão atual " sheetId="17" r:id="rId7"/>
    <sheet name="Hidro Gráfico vazão ajustada" sheetId="24" r:id="rId8"/>
    <sheet name="Adequabilidade dados" sheetId="7" r:id="rId9"/>
    <sheet name="Adequabilidade Gráfico" sheetId="26" r:id="rId10"/>
    <sheet name="Planilha1" sheetId="27" r:id="rId11"/>
    <sheet name="Tabela de Controle do PC" sheetId="12" r:id="rId12"/>
  </sheets>
  <definedNames>
    <definedName name="_xlnm.Print_Area" localSheetId="8">'Adequabilidade dados'!$A$1:$D$38</definedName>
    <definedName name="_xlnm.Print_Area" localSheetId="3">'Hidro dados'!$A$1:$R$147</definedName>
    <definedName name="_xlnm.Print_Area" localSheetId="11">'Tabela de Controle do PC'!$A$1:$E$104</definedName>
    <definedName name="_xlnm.Print_Area" localSheetId="1">'Uniformidade dados'!$A$1:$S$86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9" i="2" l="1" a="1"/>
  <c r="P9" i="2" s="1"/>
  <c r="P15" i="2" s="1"/>
  <c r="D37" i="7"/>
  <c r="A37" i="7"/>
  <c r="O3" i="2"/>
  <c r="K4" i="2"/>
  <c r="L4" i="2"/>
  <c r="O82" i="2"/>
  <c r="B83" i="2"/>
  <c r="G4" i="2"/>
  <c r="D146" i="5"/>
  <c r="E7" i="12"/>
  <c r="D26" i="12"/>
  <c r="E8" i="12"/>
  <c r="G82" i="2"/>
  <c r="K82" i="2"/>
  <c r="L82" i="2"/>
  <c r="D142" i="5"/>
  <c r="D143" i="5"/>
  <c r="D144" i="5"/>
  <c r="D145" i="5"/>
  <c r="D115" i="5"/>
  <c r="D116" i="5"/>
  <c r="D117" i="5"/>
  <c r="D118" i="5"/>
  <c r="D119" i="5"/>
  <c r="D120" i="5"/>
  <c r="D121" i="5"/>
  <c r="D122" i="5"/>
  <c r="D123" i="5"/>
  <c r="D124" i="5"/>
  <c r="D125" i="5"/>
  <c r="D126" i="5"/>
  <c r="D127" i="5"/>
  <c r="D128" i="5"/>
  <c r="D129" i="5"/>
  <c r="D130" i="5"/>
  <c r="D131" i="5"/>
  <c r="D132" i="5"/>
  <c r="D133" i="5"/>
  <c r="D134" i="5"/>
  <c r="D135" i="5"/>
  <c r="D136" i="5"/>
  <c r="D137" i="5"/>
  <c r="D138" i="5"/>
  <c r="D139" i="5"/>
  <c r="D140" i="5"/>
  <c r="D141" i="5"/>
  <c r="G3" i="2"/>
  <c r="K3" i="2"/>
  <c r="L3" i="2"/>
  <c r="M3" i="2"/>
  <c r="G5" i="2"/>
  <c r="K5" i="2"/>
  <c r="L5" i="2"/>
  <c r="G6" i="2"/>
  <c r="K6" i="2"/>
  <c r="L6" i="2"/>
  <c r="M6" i="2"/>
  <c r="G7" i="2"/>
  <c r="K7" i="2"/>
  <c r="L7" i="2"/>
  <c r="M7" i="2"/>
  <c r="G8" i="2"/>
  <c r="K8" i="2"/>
  <c r="L8" i="2"/>
  <c r="M8" i="2"/>
  <c r="G9" i="2"/>
  <c r="K9" i="2"/>
  <c r="L9" i="2"/>
  <c r="M9" i="2"/>
  <c r="G10" i="2"/>
  <c r="K10" i="2"/>
  <c r="L10" i="2"/>
  <c r="M10" i="2"/>
  <c r="G11" i="2"/>
  <c r="K11" i="2"/>
  <c r="L11" i="2"/>
  <c r="M11" i="2"/>
  <c r="G12" i="2"/>
  <c r="K12" i="2"/>
  <c r="L12" i="2"/>
  <c r="M12" i="2"/>
  <c r="G13" i="2"/>
  <c r="K13" i="2"/>
  <c r="L13" i="2"/>
  <c r="M13" i="2"/>
  <c r="G14" i="2"/>
  <c r="K14" i="2"/>
  <c r="L14" i="2"/>
  <c r="M14" i="2"/>
  <c r="G15" i="2"/>
  <c r="K15" i="2"/>
  <c r="L15" i="2"/>
  <c r="G16" i="2"/>
  <c r="K16" i="2"/>
  <c r="L16" i="2"/>
  <c r="M16" i="2"/>
  <c r="G17" i="2"/>
  <c r="K17" i="2"/>
  <c r="L17" i="2"/>
  <c r="G18" i="2"/>
  <c r="K18" i="2"/>
  <c r="L18" i="2"/>
  <c r="M18" i="2"/>
  <c r="G19" i="2"/>
  <c r="K19" i="2"/>
  <c r="L19" i="2"/>
  <c r="G20" i="2"/>
  <c r="K20" i="2"/>
  <c r="L20" i="2"/>
  <c r="M20" i="2"/>
  <c r="G21" i="2"/>
  <c r="K21" i="2"/>
  <c r="L21" i="2"/>
  <c r="G22" i="2"/>
  <c r="K22" i="2"/>
  <c r="L22" i="2"/>
  <c r="M22" i="2"/>
  <c r="G23" i="2"/>
  <c r="K23" i="2"/>
  <c r="L23" i="2"/>
  <c r="M23" i="2"/>
  <c r="G24" i="2"/>
  <c r="K24" i="2"/>
  <c r="L24" i="2"/>
  <c r="M24" i="2"/>
  <c r="G25" i="2"/>
  <c r="K25" i="2"/>
  <c r="L25" i="2"/>
  <c r="M25" i="2"/>
  <c r="G26" i="2"/>
  <c r="K26" i="2"/>
  <c r="L26" i="2"/>
  <c r="G27" i="2"/>
  <c r="K27" i="2"/>
  <c r="L27" i="2"/>
  <c r="G28" i="2"/>
  <c r="K28" i="2"/>
  <c r="L28" i="2"/>
  <c r="M28" i="2"/>
  <c r="G29" i="2"/>
  <c r="K29" i="2"/>
  <c r="L29" i="2"/>
  <c r="M29" i="2"/>
  <c r="G30" i="2"/>
  <c r="K30" i="2"/>
  <c r="L30" i="2"/>
  <c r="G31" i="2"/>
  <c r="K31" i="2"/>
  <c r="L31" i="2"/>
  <c r="G32" i="2"/>
  <c r="K32" i="2"/>
  <c r="L32" i="2"/>
  <c r="M32" i="2"/>
  <c r="G33" i="2"/>
  <c r="K33" i="2"/>
  <c r="L33" i="2"/>
  <c r="M33" i="2"/>
  <c r="G34" i="2"/>
  <c r="K34" i="2"/>
  <c r="L34" i="2"/>
  <c r="G35" i="2"/>
  <c r="K35" i="2"/>
  <c r="L35" i="2"/>
  <c r="G36" i="2"/>
  <c r="K36" i="2"/>
  <c r="L36" i="2"/>
  <c r="M36" i="2"/>
  <c r="G37" i="2"/>
  <c r="K37" i="2"/>
  <c r="L37" i="2"/>
  <c r="M37" i="2"/>
  <c r="G38" i="2"/>
  <c r="K38" i="2"/>
  <c r="L38" i="2"/>
  <c r="M38" i="2"/>
  <c r="G39" i="2"/>
  <c r="K39" i="2"/>
  <c r="L39" i="2"/>
  <c r="G40" i="2"/>
  <c r="K40" i="2"/>
  <c r="L40" i="2"/>
  <c r="G41" i="2"/>
  <c r="K41" i="2"/>
  <c r="L41" i="2"/>
  <c r="M41" i="2"/>
  <c r="G42" i="2"/>
  <c r="K42" i="2"/>
  <c r="L42" i="2"/>
  <c r="M42" i="2"/>
  <c r="G43" i="2"/>
  <c r="K43" i="2"/>
  <c r="L43" i="2"/>
  <c r="M43" i="2"/>
  <c r="G44" i="2"/>
  <c r="K44" i="2"/>
  <c r="L44" i="2"/>
  <c r="M44" i="2"/>
  <c r="G45" i="2"/>
  <c r="K45" i="2"/>
  <c r="L45" i="2"/>
  <c r="M45" i="2"/>
  <c r="G46" i="2"/>
  <c r="K46" i="2"/>
  <c r="L46" i="2"/>
  <c r="M46" i="2"/>
  <c r="G47" i="2"/>
  <c r="K47" i="2"/>
  <c r="L47" i="2"/>
  <c r="M47" i="2"/>
  <c r="G48" i="2"/>
  <c r="K48" i="2"/>
  <c r="L48" i="2"/>
  <c r="G49" i="2"/>
  <c r="K49" i="2"/>
  <c r="L49" i="2"/>
  <c r="M49" i="2"/>
  <c r="G50" i="2"/>
  <c r="K50" i="2"/>
  <c r="L50" i="2"/>
  <c r="G51" i="2"/>
  <c r="K51" i="2"/>
  <c r="L51" i="2"/>
  <c r="M51" i="2"/>
  <c r="G52" i="2"/>
  <c r="K52" i="2"/>
  <c r="L52" i="2"/>
  <c r="G53" i="2"/>
  <c r="K53" i="2"/>
  <c r="L53" i="2"/>
  <c r="M53" i="2"/>
  <c r="G54" i="2"/>
  <c r="K54" i="2"/>
  <c r="L54" i="2"/>
  <c r="G55" i="2"/>
  <c r="K55" i="2"/>
  <c r="L55" i="2"/>
  <c r="G56" i="2"/>
  <c r="K56" i="2"/>
  <c r="L56" i="2"/>
  <c r="M56" i="2"/>
  <c r="G57" i="2"/>
  <c r="K57" i="2"/>
  <c r="L57" i="2"/>
  <c r="G58" i="2"/>
  <c r="K58" i="2"/>
  <c r="L58" i="2"/>
  <c r="M58" i="2"/>
  <c r="G59" i="2"/>
  <c r="K59" i="2"/>
  <c r="L59" i="2"/>
  <c r="G60" i="2"/>
  <c r="K60" i="2"/>
  <c r="L60" i="2"/>
  <c r="M60" i="2"/>
  <c r="G61" i="2"/>
  <c r="K61" i="2"/>
  <c r="L61" i="2"/>
  <c r="M61" i="2"/>
  <c r="G62" i="2"/>
  <c r="K62" i="2"/>
  <c r="L62" i="2"/>
  <c r="M62" i="2"/>
  <c r="G63" i="2"/>
  <c r="K63" i="2"/>
  <c r="L63" i="2"/>
  <c r="G64" i="2"/>
  <c r="K64" i="2"/>
  <c r="L64" i="2"/>
  <c r="G65" i="2"/>
  <c r="K65" i="2"/>
  <c r="L65" i="2"/>
  <c r="G66" i="2"/>
  <c r="K66" i="2"/>
  <c r="L66" i="2"/>
  <c r="M66" i="2"/>
  <c r="G67" i="2"/>
  <c r="K67" i="2"/>
  <c r="L67" i="2"/>
  <c r="M67" i="2"/>
  <c r="G68" i="2"/>
  <c r="K68" i="2"/>
  <c r="L68" i="2"/>
  <c r="G69" i="2"/>
  <c r="K69" i="2"/>
  <c r="L69" i="2"/>
  <c r="M69" i="2"/>
  <c r="G70" i="2"/>
  <c r="K70" i="2"/>
  <c r="L70" i="2"/>
  <c r="M70" i="2"/>
  <c r="G71" i="2"/>
  <c r="K71" i="2"/>
  <c r="L71" i="2"/>
  <c r="M71" i="2"/>
  <c r="G72" i="2"/>
  <c r="K72" i="2"/>
  <c r="L72" i="2"/>
  <c r="M72" i="2"/>
  <c r="G73" i="2"/>
  <c r="K73" i="2"/>
  <c r="L73" i="2"/>
  <c r="M73" i="2"/>
  <c r="G74" i="2"/>
  <c r="K74" i="2"/>
  <c r="L74" i="2"/>
  <c r="M74" i="2"/>
  <c r="G75" i="2"/>
  <c r="K75" i="2"/>
  <c r="L75" i="2"/>
  <c r="M75" i="2"/>
  <c r="G76" i="2"/>
  <c r="K76" i="2"/>
  <c r="L76" i="2"/>
  <c r="M76" i="2"/>
  <c r="G77" i="2"/>
  <c r="K77" i="2"/>
  <c r="L77" i="2"/>
  <c r="M77" i="2"/>
  <c r="G78" i="2"/>
  <c r="K78" i="2"/>
  <c r="L78" i="2"/>
  <c r="G79" i="2"/>
  <c r="K79" i="2"/>
  <c r="L79" i="2"/>
  <c r="G80" i="2"/>
  <c r="K80" i="2"/>
  <c r="L80" i="2"/>
  <c r="G81" i="2"/>
  <c r="K81" i="2"/>
  <c r="L81" i="2"/>
  <c r="M81" i="2"/>
  <c r="K83" i="2"/>
  <c r="O55" i="2"/>
  <c r="O56" i="2"/>
  <c r="O57" i="2"/>
  <c r="O58" i="2"/>
  <c r="O59" i="2"/>
  <c r="O60" i="2"/>
  <c r="O61" i="2"/>
  <c r="O62" i="2"/>
  <c r="O63" i="2"/>
  <c r="O64" i="2"/>
  <c r="O65" i="2"/>
  <c r="O66" i="2"/>
  <c r="O67" i="2"/>
  <c r="O68" i="2"/>
  <c r="O69" i="2"/>
  <c r="O70" i="2"/>
  <c r="O71" i="2"/>
  <c r="O72" i="2"/>
  <c r="O73" i="2"/>
  <c r="O74" i="2"/>
  <c r="O75" i="2"/>
  <c r="O76" i="2"/>
  <c r="O45" i="2"/>
  <c r="O46" i="2"/>
  <c r="O47" i="2"/>
  <c r="O48" i="2"/>
  <c r="O49" i="2"/>
  <c r="O50" i="2"/>
  <c r="O51" i="2"/>
  <c r="O52" i="2"/>
  <c r="O53" i="2"/>
  <c r="O54" i="2"/>
  <c r="O43" i="2"/>
  <c r="O44" i="2"/>
  <c r="D77" i="5"/>
  <c r="D2" i="5"/>
  <c r="D3" i="5"/>
  <c r="E125" i="5"/>
  <c r="D4" i="5"/>
  <c r="D24" i="12"/>
  <c r="D13" i="12"/>
  <c r="D96" i="5"/>
  <c r="D97" i="5"/>
  <c r="D98" i="5"/>
  <c r="D99" i="5"/>
  <c r="D100" i="5"/>
  <c r="D101" i="5"/>
  <c r="D102" i="5"/>
  <c r="D103" i="5"/>
  <c r="D104" i="5"/>
  <c r="D105" i="5"/>
  <c r="D106" i="5"/>
  <c r="D107" i="5"/>
  <c r="D108" i="5"/>
  <c r="D109" i="5"/>
  <c r="D110" i="5"/>
  <c r="D111" i="5"/>
  <c r="D112" i="5"/>
  <c r="D113" i="5"/>
  <c r="D114" i="5"/>
  <c r="D95" i="5"/>
  <c r="D5" i="5"/>
  <c r="D6" i="5"/>
  <c r="D7" i="5"/>
  <c r="D8" i="5"/>
  <c r="D9" i="5"/>
  <c r="D10" i="5"/>
  <c r="D11" i="5"/>
  <c r="D12" i="5"/>
  <c r="E18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65" i="5"/>
  <c r="D66" i="5"/>
  <c r="D67" i="5"/>
  <c r="D68" i="5"/>
  <c r="D69" i="5"/>
  <c r="D70" i="5"/>
  <c r="D71" i="5"/>
  <c r="D72" i="5"/>
  <c r="D73" i="5"/>
  <c r="D74" i="5"/>
  <c r="D75" i="5"/>
  <c r="D76" i="5"/>
  <c r="D78" i="5"/>
  <c r="D79" i="5"/>
  <c r="D80" i="5"/>
  <c r="D81" i="5"/>
  <c r="D82" i="5"/>
  <c r="D83" i="5"/>
  <c r="D84" i="5"/>
  <c r="D85" i="5"/>
  <c r="D86" i="5"/>
  <c r="D87" i="5"/>
  <c r="D88" i="5"/>
  <c r="D89" i="5"/>
  <c r="D90" i="5"/>
  <c r="D91" i="5"/>
  <c r="D92" i="5"/>
  <c r="D93" i="5"/>
  <c r="D94" i="5"/>
  <c r="D20" i="12"/>
  <c r="D22" i="12"/>
  <c r="D34" i="12"/>
  <c r="D36" i="12"/>
  <c r="D38" i="12"/>
  <c r="D40" i="12"/>
  <c r="D42" i="12"/>
  <c r="D44" i="12"/>
  <c r="D46" i="12"/>
  <c r="D48" i="12"/>
  <c r="D50" i="12"/>
  <c r="D52" i="12"/>
  <c r="D54" i="12"/>
  <c r="D56" i="12"/>
  <c r="D66" i="12"/>
  <c r="D68" i="12"/>
  <c r="D70" i="12"/>
  <c r="D72" i="12"/>
  <c r="D74" i="12"/>
  <c r="D76" i="12"/>
  <c r="D78" i="12"/>
  <c r="D80" i="12"/>
  <c r="D82" i="12"/>
  <c r="D84" i="12"/>
  <c r="D86" i="12"/>
  <c r="D88" i="12"/>
  <c r="D98" i="12"/>
  <c r="D100" i="12"/>
  <c r="D102" i="12"/>
  <c r="C21" i="12"/>
  <c r="C22" i="12"/>
  <c r="C23" i="12"/>
  <c r="C24" i="12"/>
  <c r="C25" i="12"/>
  <c r="C26" i="12"/>
  <c r="C27" i="12"/>
  <c r="C28" i="12"/>
  <c r="C29" i="12"/>
  <c r="C30" i="12"/>
  <c r="C31" i="12"/>
  <c r="C32" i="12"/>
  <c r="C33" i="12"/>
  <c r="C34" i="12"/>
  <c r="C35" i="12"/>
  <c r="C36" i="12"/>
  <c r="C37" i="12"/>
  <c r="C38" i="12"/>
  <c r="C39" i="12"/>
  <c r="C40" i="12"/>
  <c r="C41" i="12"/>
  <c r="C42" i="12"/>
  <c r="C43" i="12"/>
  <c r="C44" i="12"/>
  <c r="C45" i="12"/>
  <c r="C46" i="12"/>
  <c r="C47" i="12"/>
  <c r="C48" i="12"/>
  <c r="C49" i="12"/>
  <c r="C50" i="12"/>
  <c r="C51" i="12"/>
  <c r="C52" i="12"/>
  <c r="C53" i="12"/>
  <c r="C54" i="12"/>
  <c r="C55" i="12"/>
  <c r="C56" i="12"/>
  <c r="C57" i="12"/>
  <c r="C58" i="12"/>
  <c r="C59" i="12"/>
  <c r="C60" i="12"/>
  <c r="C61" i="12"/>
  <c r="C62" i="12"/>
  <c r="C63" i="12"/>
  <c r="C64" i="12"/>
  <c r="C65" i="12"/>
  <c r="C66" i="12"/>
  <c r="C67" i="12"/>
  <c r="C68" i="12"/>
  <c r="C69" i="12"/>
  <c r="C70" i="12"/>
  <c r="C71" i="12"/>
  <c r="C72" i="12"/>
  <c r="C73" i="12"/>
  <c r="C74" i="12"/>
  <c r="C75" i="12"/>
  <c r="C76" i="12"/>
  <c r="C77" i="12"/>
  <c r="C78" i="12"/>
  <c r="C79" i="12"/>
  <c r="C80" i="12"/>
  <c r="C81" i="12"/>
  <c r="C82" i="12"/>
  <c r="C83" i="12"/>
  <c r="C84" i="12"/>
  <c r="C85" i="12"/>
  <c r="C86" i="12"/>
  <c r="C87" i="12"/>
  <c r="C88" i="12"/>
  <c r="C89" i="12"/>
  <c r="C90" i="12"/>
  <c r="C91" i="12"/>
  <c r="C92" i="12"/>
  <c r="C93" i="12"/>
  <c r="C94" i="12"/>
  <c r="C95" i="12"/>
  <c r="C96" i="12"/>
  <c r="C97" i="12"/>
  <c r="C98" i="12"/>
  <c r="C99" i="12"/>
  <c r="C100" i="12"/>
  <c r="C101" i="12"/>
  <c r="C102" i="12"/>
  <c r="C103" i="12"/>
  <c r="C20" i="12"/>
  <c r="C14" i="12"/>
  <c r="C15" i="12"/>
  <c r="C16" i="12"/>
  <c r="C17" i="12"/>
  <c r="C18" i="12"/>
  <c r="C19" i="12"/>
  <c r="C13" i="1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37" i="2"/>
  <c r="O38" i="2"/>
  <c r="O39" i="2"/>
  <c r="O40" i="2"/>
  <c r="O41" i="2"/>
  <c r="O42" i="2"/>
  <c r="O77" i="2"/>
  <c r="O78" i="2"/>
  <c r="O4" i="2"/>
  <c r="O5" i="2"/>
  <c r="O6" i="2"/>
  <c r="O7" i="2"/>
  <c r="O8" i="2"/>
  <c r="O9" i="2"/>
  <c r="O10" i="2"/>
  <c r="O11" i="2"/>
  <c r="O12" i="2"/>
  <c r="O79" i="2"/>
  <c r="O80" i="2"/>
  <c r="O81" i="2"/>
  <c r="D18" i="12"/>
  <c r="D14" i="12"/>
  <c r="D95" i="12"/>
  <c r="D93" i="12"/>
  <c r="D91" i="12"/>
  <c r="D89" i="12"/>
  <c r="D87" i="12"/>
  <c r="D85" i="12"/>
  <c r="D83" i="12"/>
  <c r="D81" i="12"/>
  <c r="D79" i="12"/>
  <c r="D77" i="12"/>
  <c r="D75" i="12"/>
  <c r="D73" i="12"/>
  <c r="D63" i="12"/>
  <c r="D61" i="12"/>
  <c r="D59" i="12"/>
  <c r="D57" i="12"/>
  <c r="D55" i="12"/>
  <c r="D53" i="12"/>
  <c r="D51" i="12"/>
  <c r="D49" i="12"/>
  <c r="D47" i="12"/>
  <c r="D45" i="12"/>
  <c r="D43" i="12"/>
  <c r="D41" i="12"/>
  <c r="D31" i="12"/>
  <c r="D29" i="12"/>
  <c r="D27" i="12"/>
  <c r="D25" i="12"/>
  <c r="D23" i="12"/>
  <c r="D21" i="12"/>
  <c r="D19" i="12"/>
  <c r="D17" i="12"/>
  <c r="D15" i="12"/>
  <c r="C25" i="7"/>
  <c r="C33" i="7"/>
  <c r="C24" i="7"/>
  <c r="C17" i="7"/>
  <c r="E76" i="12"/>
  <c r="E44" i="12"/>
  <c r="C23" i="7"/>
  <c r="D16" i="12"/>
  <c r="E66" i="12"/>
  <c r="E14" i="12"/>
  <c r="E64" i="12"/>
  <c r="C7" i="7"/>
  <c r="E79" i="12"/>
  <c r="E18" i="12"/>
  <c r="C14" i="7"/>
  <c r="C30" i="7"/>
  <c r="E27" i="12"/>
  <c r="E35" i="12"/>
  <c r="E43" i="12"/>
  <c r="E59" i="12"/>
  <c r="E67" i="12"/>
  <c r="C27" i="7"/>
  <c r="E16" i="12"/>
  <c r="E48" i="12"/>
  <c r="E39" i="12"/>
  <c r="E17" i="12"/>
  <c r="C28" i="7"/>
  <c r="C18" i="7"/>
  <c r="C3" i="7"/>
  <c r="E74" i="12"/>
  <c r="E70" i="12"/>
  <c r="E90" i="12"/>
  <c r="C31" i="7"/>
  <c r="E20" i="12"/>
  <c r="E36" i="12"/>
  <c r="C5" i="7"/>
  <c r="E101" i="12"/>
  <c r="E93" i="12"/>
  <c r="E85" i="12"/>
  <c r="E77" i="12"/>
  <c r="E69" i="12"/>
  <c r="E57" i="12"/>
  <c r="E47" i="12"/>
  <c r="E37" i="12"/>
  <c r="E25" i="12"/>
  <c r="E15" i="12"/>
  <c r="E86" i="12"/>
  <c r="E78" i="12"/>
  <c r="C21" i="7"/>
  <c r="M80" i="2"/>
  <c r="E120" i="5"/>
  <c r="E67" i="5"/>
  <c r="E109" i="5"/>
  <c r="M15" i="2"/>
  <c r="M17" i="2"/>
  <c r="E46" i="12"/>
  <c r="E58" i="12"/>
  <c r="C20" i="7"/>
  <c r="E21" i="12"/>
  <c r="E41" i="12"/>
  <c r="E56" i="12"/>
  <c r="E24" i="12"/>
  <c r="P21" i="2"/>
  <c r="J35" i="2"/>
  <c r="J22" i="2"/>
  <c r="E38" i="12"/>
  <c r="E32" i="12"/>
  <c r="E95" i="12"/>
  <c r="E29" i="12"/>
  <c r="E54" i="12"/>
  <c r="C6" i="7"/>
  <c r="E19" i="12"/>
  <c r="E31" i="12"/>
  <c r="E53" i="12"/>
  <c r="E73" i="12"/>
  <c r="E89" i="12"/>
  <c r="E13" i="12"/>
  <c r="C19" i="7"/>
  <c r="E72" i="12"/>
  <c r="E40" i="12"/>
  <c r="E62" i="12"/>
  <c r="E26" i="12"/>
  <c r="E102" i="12"/>
  <c r="C22" i="7"/>
  <c r="E22" i="12"/>
  <c r="C12" i="7"/>
  <c r="C34" i="7"/>
  <c r="E33" i="12"/>
  <c r="E55" i="12"/>
  <c r="E75" i="12"/>
  <c r="E91" i="12"/>
  <c r="C9" i="7"/>
  <c r="E92" i="12"/>
  <c r="E60" i="12"/>
  <c r="J24" i="2"/>
  <c r="J54" i="2"/>
  <c r="J76" i="2"/>
  <c r="J65" i="2"/>
  <c r="J82" i="2"/>
  <c r="J31" i="2"/>
  <c r="J81" i="2"/>
  <c r="J37" i="2"/>
  <c r="J16" i="2"/>
  <c r="J44" i="2"/>
  <c r="J53" i="2"/>
  <c r="J51" i="2"/>
  <c r="J23" i="2"/>
  <c r="J28" i="2"/>
  <c r="J55" i="2"/>
  <c r="J52" i="2"/>
  <c r="J36" i="2"/>
  <c r="J70" i="2"/>
  <c r="J20" i="2"/>
  <c r="J68" i="2"/>
  <c r="E55" i="5"/>
  <c r="E82" i="5"/>
  <c r="M5" i="2"/>
  <c r="M39" i="2"/>
  <c r="M54" i="2"/>
  <c r="M21" i="2"/>
  <c r="M4" i="2"/>
  <c r="M83" i="2"/>
  <c r="P6" i="2"/>
  <c r="L83" i="2"/>
  <c r="M59" i="2"/>
  <c r="M64" i="2"/>
  <c r="M30" i="2"/>
  <c r="M26" i="2"/>
  <c r="M35" i="2"/>
  <c r="M68" i="2"/>
  <c r="M79" i="2"/>
  <c r="E136" i="5"/>
  <c r="E73" i="5"/>
  <c r="E135" i="5"/>
  <c r="E36" i="5"/>
  <c r="E145" i="5"/>
  <c r="E45" i="5"/>
  <c r="E79" i="5"/>
  <c r="E134" i="5"/>
  <c r="E57" i="5"/>
  <c r="E138" i="5"/>
  <c r="E58" i="5"/>
  <c r="E44" i="5"/>
  <c r="E50" i="5"/>
  <c r="E89" i="5"/>
  <c r="E87" i="5"/>
  <c r="E20" i="5"/>
  <c r="E142" i="5"/>
  <c r="E29" i="5"/>
  <c r="E63" i="5"/>
  <c r="E2" i="5"/>
  <c r="E70" i="5"/>
  <c r="E121" i="5"/>
  <c r="E10" i="5"/>
  <c r="E144" i="5"/>
  <c r="E85" i="5"/>
  <c r="E37" i="5"/>
  <c r="E74" i="5"/>
  <c r="E115" i="5"/>
  <c r="E94" i="5"/>
  <c r="E128" i="5"/>
  <c r="E15" i="5"/>
  <c r="E21" i="5"/>
  <c r="E137" i="5"/>
  <c r="E23" i="5"/>
  <c r="E4" i="5"/>
  <c r="E126" i="5"/>
  <c r="E13" i="5"/>
  <c r="E47" i="5"/>
  <c r="E6" i="5"/>
  <c r="E42" i="5"/>
  <c r="E25" i="5"/>
  <c r="E7" i="5"/>
  <c r="E131" i="5"/>
  <c r="E110" i="5"/>
  <c r="E31" i="5"/>
  <c r="E106" i="5"/>
  <c r="E118" i="5"/>
  <c r="E95" i="5"/>
  <c r="E24" i="5"/>
  <c r="E30" i="5"/>
  <c r="E113" i="5"/>
  <c r="E130" i="5"/>
  <c r="J79" i="2"/>
  <c r="J66" i="2"/>
  <c r="J19" i="2"/>
  <c r="J80" i="2"/>
  <c r="M48" i="2"/>
  <c r="E93" i="5"/>
  <c r="E51" i="5"/>
  <c r="E72" i="5"/>
  <c r="E43" i="5"/>
  <c r="E49" i="5"/>
  <c r="M78" i="2"/>
  <c r="M63" i="2"/>
  <c r="M34" i="2"/>
  <c r="E104" i="5"/>
  <c r="E111" i="5"/>
  <c r="E52" i="5"/>
  <c r="E127" i="5"/>
  <c r="E5" i="5"/>
  <c r="E46" i="5"/>
  <c r="E69" i="5"/>
  <c r="E133" i="5"/>
  <c r="J38" i="2"/>
  <c r="J30" i="2"/>
  <c r="J32" i="2"/>
  <c r="E102" i="5"/>
  <c r="E59" i="5"/>
  <c r="E34" i="5"/>
  <c r="J45" i="2"/>
  <c r="E17" i="5"/>
  <c r="M27" i="2"/>
  <c r="E139" i="5"/>
  <c r="J56" i="2"/>
  <c r="E80" i="5"/>
  <c r="E98" i="5"/>
  <c r="E108" i="5"/>
  <c r="E56" i="5"/>
  <c r="M82" i="2"/>
  <c r="E75" i="5"/>
  <c r="J40" i="2"/>
  <c r="J43" i="2"/>
  <c r="J29" i="2"/>
  <c r="E65" i="5"/>
  <c r="E91" i="5"/>
  <c r="E28" i="5"/>
  <c r="M40" i="2"/>
  <c r="E119" i="5"/>
  <c r="E83" i="5"/>
  <c r="E99" i="5"/>
  <c r="E101" i="5"/>
  <c r="E88" i="5"/>
  <c r="E90" i="5"/>
  <c r="J14" i="2"/>
  <c r="J73" i="2"/>
  <c r="J7" i="2"/>
  <c r="J3" i="2"/>
  <c r="J71" i="2"/>
  <c r="J10" i="2"/>
  <c r="J17" i="2"/>
  <c r="J60" i="2"/>
  <c r="J50" i="2"/>
  <c r="J49" i="2"/>
  <c r="J13" i="2"/>
  <c r="J72" i="2"/>
  <c r="J11" i="2"/>
  <c r="J5" i="2"/>
  <c r="J61" i="2"/>
  <c r="J67" i="2"/>
  <c r="J33" i="2"/>
  <c r="J15" i="2"/>
  <c r="J78" i="2"/>
  <c r="J46" i="2"/>
  <c r="J18" i="2"/>
  <c r="J8" i="2"/>
  <c r="J69" i="2"/>
  <c r="J9" i="2"/>
  <c r="J77" i="2"/>
  <c r="J74" i="2"/>
  <c r="E117" i="5"/>
  <c r="M52" i="2"/>
  <c r="E26" i="5"/>
  <c r="J75" i="2"/>
  <c r="J48" i="2"/>
  <c r="E84" i="5"/>
  <c r="M19" i="2"/>
  <c r="E105" i="5"/>
  <c r="J57" i="2"/>
  <c r="J34" i="2"/>
  <c r="E16" i="5"/>
  <c r="E62" i="5"/>
  <c r="E86" i="5"/>
  <c r="E41" i="5"/>
  <c r="E32" i="5"/>
  <c r="E116" i="5"/>
  <c r="E54" i="5"/>
  <c r="J62" i="2"/>
  <c r="J26" i="2"/>
  <c r="E48" i="5"/>
  <c r="D147" i="5"/>
  <c r="E140" i="5"/>
  <c r="E60" i="5"/>
  <c r="J47" i="2"/>
  <c r="J63" i="2"/>
  <c r="E64" i="5"/>
  <c r="E66" i="5"/>
  <c r="E9" i="5"/>
  <c r="E33" i="5"/>
  <c r="E12" i="5"/>
  <c r="E96" i="5"/>
  <c r="E114" i="5"/>
  <c r="E92" i="5"/>
  <c r="M31" i="2"/>
  <c r="E11" i="5"/>
  <c r="J59" i="2"/>
  <c r="J6" i="2"/>
  <c r="E112" i="5"/>
  <c r="E3" i="5"/>
  <c r="E81" i="5"/>
  <c r="E27" i="5"/>
  <c r="M55" i="2"/>
  <c r="J4" i="2"/>
  <c r="J39" i="2"/>
  <c r="J58" i="2"/>
  <c r="M50" i="2"/>
  <c r="E61" i="5"/>
  <c r="E19" i="5"/>
  <c r="E97" i="5"/>
  <c r="E123" i="5"/>
  <c r="E71" i="5"/>
  <c r="E23" i="12"/>
  <c r="E49" i="12"/>
  <c r="E80" i="12"/>
  <c r="E52" i="12"/>
  <c r="C26" i="7"/>
  <c r="E63" i="12"/>
  <c r="E51" i="12"/>
  <c r="E96" i="12"/>
  <c r="E28" i="12"/>
  <c r="C11" i="7"/>
  <c r="E50" i="12"/>
  <c r="E45" i="12"/>
  <c r="C8" i="7"/>
  <c r="C15" i="7"/>
  <c r="E68" i="12"/>
  <c r="C16" i="7"/>
  <c r="E81" i="12"/>
  <c r="C35" i="7"/>
  <c r="E61" i="12"/>
  <c r="E99" i="12"/>
  <c r="E82" i="12"/>
  <c r="E71" i="12"/>
  <c r="C13" i="7"/>
  <c r="C32" i="7"/>
  <c r="E65" i="12"/>
  <c r="E103" i="12"/>
  <c r="E84" i="12"/>
  <c r="C4" i="7"/>
  <c r="E97" i="12"/>
  <c r="E94" i="12"/>
  <c r="E34" i="12"/>
  <c r="E83" i="12"/>
  <c r="E98" i="12"/>
  <c r="E87" i="12"/>
  <c r="E100" i="12"/>
  <c r="C29" i="7"/>
  <c r="C10" i="7"/>
  <c r="E30" i="12"/>
  <c r="E42" i="12"/>
  <c r="E88" i="12"/>
  <c r="E39" i="5"/>
  <c r="E103" i="5"/>
  <c r="E40" i="5"/>
  <c r="E141" i="5"/>
  <c r="E53" i="5"/>
  <c r="E14" i="5"/>
  <c r="E68" i="5"/>
  <c r="J42" i="2"/>
  <c r="E143" i="5"/>
  <c r="E38" i="5"/>
  <c r="J41" i="2"/>
  <c r="E100" i="5"/>
  <c r="E78" i="5"/>
  <c r="E124" i="5"/>
  <c r="J12" i="2"/>
  <c r="E122" i="5"/>
  <c r="E76" i="5"/>
  <c r="J64" i="2"/>
  <c r="M65" i="2"/>
  <c r="E22" i="5"/>
  <c r="E129" i="5"/>
  <c r="M57" i="2"/>
  <c r="J25" i="2"/>
  <c r="J27" i="2"/>
  <c r="J21" i="2"/>
  <c r="E77" i="5"/>
  <c r="E35" i="5"/>
  <c r="E8" i="5"/>
  <c r="E107" i="5"/>
  <c r="E132" i="5"/>
  <c r="D33" i="12"/>
  <c r="D65" i="12"/>
  <c r="D96" i="12"/>
  <c r="D35" i="12"/>
  <c r="D67" i="12"/>
  <c r="D99" i="12"/>
  <c r="D94" i="12"/>
  <c r="D62" i="12"/>
  <c r="D30" i="12"/>
  <c r="D32" i="12"/>
  <c r="D37" i="12"/>
  <c r="D69" i="12"/>
  <c r="D101" i="12"/>
  <c r="D92" i="12"/>
  <c r="D60" i="12"/>
  <c r="D28" i="12"/>
  <c r="D97" i="12"/>
  <c r="D64" i="12"/>
  <c r="D39" i="12"/>
  <c r="D71" i="12"/>
  <c r="D103" i="12"/>
  <c r="D90" i="12"/>
  <c r="D58" i="12"/>
  <c r="I51" i="2"/>
  <c r="I40" i="2"/>
  <c r="I62" i="2"/>
  <c r="I31" i="2"/>
  <c r="D28" i="7"/>
  <c r="D21" i="7"/>
  <c r="I35" i="2"/>
  <c r="P24" i="2"/>
  <c r="E10" i="12"/>
  <c r="I57" i="2"/>
  <c r="I48" i="2"/>
  <c r="N11" i="2"/>
  <c r="I70" i="2"/>
  <c r="I68" i="2"/>
  <c r="I20" i="2"/>
  <c r="I44" i="2"/>
  <c r="I42" i="2"/>
  <c r="I32" i="2"/>
  <c r="D9" i="7"/>
  <c r="D5" i="7"/>
  <c r="D7" i="7"/>
  <c r="D30" i="7"/>
  <c r="N32" i="2"/>
  <c r="I6" i="2"/>
  <c r="I29" i="2"/>
  <c r="D12" i="7"/>
  <c r="I8" i="2"/>
  <c r="D20" i="7"/>
  <c r="I69" i="2"/>
  <c r="I66" i="2"/>
  <c r="I75" i="2"/>
  <c r="I9" i="2"/>
  <c r="D11" i="7"/>
  <c r="D26" i="7"/>
  <c r="N49" i="2"/>
  <c r="N53" i="2"/>
  <c r="I21" i="2"/>
  <c r="D17" i="7"/>
  <c r="I79" i="2"/>
  <c r="I77" i="2"/>
  <c r="D15" i="7"/>
  <c r="I67" i="2"/>
  <c r="D33" i="7"/>
  <c r="I80" i="2"/>
  <c r="D8" i="7"/>
  <c r="N74" i="2"/>
  <c r="I26" i="2"/>
  <c r="I28" i="2"/>
  <c r="D34" i="7"/>
  <c r="N80" i="2"/>
  <c r="I81" i="2"/>
  <c r="N23" i="2"/>
  <c r="I13" i="2"/>
  <c r="I34" i="2"/>
  <c r="D10" i="7"/>
  <c r="I49" i="2"/>
  <c r="D13" i="7"/>
  <c r="D18" i="7"/>
  <c r="I56" i="2"/>
  <c r="I41" i="2"/>
  <c r="I5" i="2"/>
  <c r="D32" i="7"/>
  <c r="I72" i="2"/>
  <c r="I53" i="2"/>
  <c r="I25" i="2"/>
  <c r="D27" i="7"/>
  <c r="N69" i="2"/>
  <c r="I52" i="2"/>
  <c r="I27" i="2"/>
  <c r="I4" i="2"/>
  <c r="I46" i="2"/>
  <c r="D35" i="7"/>
  <c r="N28" i="2"/>
  <c r="D31" i="7"/>
  <c r="I36" i="2"/>
  <c r="I38" i="2"/>
  <c r="I71" i="2"/>
  <c r="I78" i="2"/>
  <c r="N75" i="2"/>
  <c r="I16" i="2"/>
  <c r="N61" i="2"/>
  <c r="I65" i="2"/>
  <c r="D23" i="7"/>
  <c r="I7" i="2"/>
  <c r="N36" i="2"/>
  <c r="I15" i="2"/>
  <c r="I54" i="2"/>
  <c r="N16" i="2"/>
  <c r="N62" i="2"/>
  <c r="I58" i="2"/>
  <c r="I55" i="2"/>
  <c r="I17" i="2"/>
  <c r="N44" i="2"/>
  <c r="N13" i="2"/>
  <c r="I61" i="2"/>
  <c r="D3" i="7"/>
  <c r="N60" i="2"/>
  <c r="I73" i="2"/>
  <c r="I30" i="2"/>
  <c r="D6" i="7"/>
  <c r="D14" i="7"/>
  <c r="D22" i="7"/>
  <c r="N8" i="2"/>
  <c r="D16" i="7"/>
  <c r="I11" i="2"/>
  <c r="N12" i="2"/>
  <c r="I59" i="2"/>
  <c r="I76" i="2"/>
  <c r="D25" i="7"/>
  <c r="I47" i="2"/>
  <c r="N22" i="2"/>
  <c r="I64" i="2"/>
  <c r="I3" i="2"/>
  <c r="I19" i="2"/>
  <c r="D4" i="7"/>
  <c r="D24" i="7"/>
  <c r="I18" i="2"/>
  <c r="I22" i="2"/>
  <c r="N20" i="2"/>
  <c r="N7" i="2"/>
  <c r="I43" i="2"/>
  <c r="I50" i="2"/>
  <c r="I37" i="2"/>
  <c r="I14" i="2"/>
  <c r="N9" i="2"/>
  <c r="I60" i="2"/>
  <c r="I74" i="2"/>
  <c r="I63" i="2"/>
  <c r="I39" i="2"/>
  <c r="I33" i="2"/>
  <c r="I10" i="2"/>
  <c r="D29" i="7"/>
  <c r="I23" i="2"/>
  <c r="I12" i="2"/>
  <c r="I82" i="2"/>
  <c r="I45" i="2"/>
  <c r="I24" i="2"/>
  <c r="D19" i="7"/>
  <c r="N71" i="2"/>
  <c r="N19" i="2"/>
  <c r="N51" i="2"/>
  <c r="N31" i="2"/>
  <c r="N48" i="2"/>
  <c r="N54" i="2"/>
  <c r="N58" i="2"/>
  <c r="N30" i="2"/>
  <c r="N55" i="2"/>
  <c r="N25" i="2"/>
  <c r="N38" i="2"/>
  <c r="N50" i="2"/>
  <c r="N26" i="2"/>
  <c r="N5" i="2"/>
  <c r="N59" i="2"/>
  <c r="N6" i="2"/>
  <c r="N67" i="2"/>
  <c r="N27" i="2"/>
  <c r="N77" i="2"/>
  <c r="N57" i="2"/>
  <c r="N46" i="2"/>
  <c r="N41" i="2"/>
  <c r="N40" i="2"/>
  <c r="N14" i="2"/>
  <c r="N39" i="2"/>
  <c r="N68" i="2"/>
  <c r="N64" i="2"/>
  <c r="N65" i="2"/>
  <c r="N79" i="2"/>
  <c r="N63" i="2"/>
  <c r="N37" i="2"/>
  <c r="N17" i="2"/>
  <c r="N82" i="2"/>
  <c r="N72" i="2"/>
  <c r="N52" i="2"/>
  <c r="N43" i="2"/>
  <c r="N34" i="2"/>
  <c r="N29" i="2"/>
  <c r="N81" i="2"/>
  <c r="N45" i="2"/>
  <c r="N24" i="2"/>
  <c r="N3" i="2"/>
  <c r="N35" i="2"/>
  <c r="N15" i="2"/>
  <c r="N10" i="2"/>
  <c r="N33" i="2"/>
  <c r="N42" i="2"/>
  <c r="N78" i="2"/>
  <c r="N66" i="2"/>
  <c r="N70" i="2"/>
  <c r="N47" i="2"/>
  <c r="N73" i="2"/>
  <c r="N18" i="2"/>
  <c r="N56" i="2"/>
  <c r="N21" i="2"/>
  <c r="N4" i="2"/>
  <c r="N76" i="2"/>
  <c r="N83" i="2"/>
  <c r="P12" i="2"/>
  <c r="E11" i="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Carlos Henrique Azevedo Farias</author>
    <author>Carlos</author>
  </authors>
  <commentList>
    <comment ref="P8" authorId="0" shapeId="0" xr:uid="{A6905AC7-5ABF-4528-875F-37F58BAF62B6}">
      <text>
        <r>
          <rPr>
            <b/>
            <sz val="16"/>
            <color indexed="81"/>
            <rFont val="Segoe UI"/>
            <family val="2"/>
          </rPr>
          <t xml:space="preserve">Carlos Henrique Azevedo Farias: </t>
        </r>
        <r>
          <rPr>
            <sz val="16"/>
            <color indexed="81"/>
            <rFont val="Segoe UI"/>
            <family val="2"/>
          </rPr>
          <t xml:space="preserve">Aqui são selecionados as 25% menores lâminas da coluna L (em amarelo). Primeiro, deve-se olhar a quantidade de copos distribuidos; neste caso 80. Pois bem, 80 x 25% = 20. Então, na coluna L seleciona-se as 20 menores lâminas de forma manual. Preste atenção, que deverá na equação mudar o divisor por 20. Isso pode ser diferente a cada avaliação se mudar o equipamento.
Dar-se-á dois clics sob a célula P9 e em seguda fa-se-á a seleção. das 20 menores lâminas.
</t>
        </r>
      </text>
    </comment>
    <comment ref="P20" authorId="1" shapeId="0" xr:uid="{0A2BF816-EC46-450A-A439-250F08EE4D80}">
      <text>
        <r>
          <rPr>
            <b/>
            <sz val="10"/>
            <color indexed="81"/>
            <rFont val="Tahoma"/>
            <family val="2"/>
          </rPr>
          <t>Carlos:</t>
        </r>
        <r>
          <rPr>
            <sz val="10"/>
            <color indexed="81"/>
            <rFont val="Tahoma"/>
            <family val="2"/>
          </rPr>
          <t xml:space="preserve">
deveria ser a de projeto essa é a verificada in loco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Destilaria Miriri</author>
  </authors>
  <commentList>
    <comment ref="E5" authorId="0" shapeId="0" xr:uid="{1C149A76-D9E6-40F6-B3AB-672E730376AA}">
      <text>
        <r>
          <rPr>
            <b/>
            <sz val="14"/>
            <color indexed="81"/>
            <rFont val="Tahoma"/>
            <family val="2"/>
          </rPr>
          <t>Destilaria Miriri:</t>
        </r>
        <r>
          <rPr>
            <sz val="14"/>
            <color indexed="81"/>
            <rFont val="Tahoma"/>
            <family val="2"/>
          </rPr>
          <t xml:space="preserve">
Velocidade anterior 127m/h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<sst xmlns="http://schemas.openxmlformats.org/spreadsheetml/2006/main" count="151" uniqueCount="70">
  <si>
    <t>Vão</t>
  </si>
  <si>
    <t>Nº</t>
  </si>
  <si>
    <t>volume (ml)</t>
  </si>
  <si>
    <t>A</t>
  </si>
  <si>
    <t>B</t>
  </si>
  <si>
    <t>Média</t>
  </si>
  <si>
    <t xml:space="preserve">Lâmina </t>
  </si>
  <si>
    <t>Coletor (Si)</t>
  </si>
  <si>
    <t>Resultados</t>
  </si>
  <si>
    <t>CUC (%)</t>
  </si>
  <si>
    <t>UD (%)</t>
  </si>
  <si>
    <t>L. armazenada (mm)</t>
  </si>
  <si>
    <t>Epa (%)</t>
  </si>
  <si>
    <t>Nº do bico</t>
  </si>
  <si>
    <t>Tempo (s)</t>
  </si>
  <si>
    <t xml:space="preserve"> Volume (l)</t>
  </si>
  <si>
    <t>D do bocal (mm)</t>
  </si>
  <si>
    <t>Lâmina de projeto (mm)</t>
  </si>
  <si>
    <t>Frequencia acumulada</t>
  </si>
  <si>
    <t>Lâminas</t>
  </si>
  <si>
    <t xml:space="preserve">Lamina de projeto </t>
  </si>
  <si>
    <t>ADEQUABILIDADE DA IRRIGAÇÃO</t>
  </si>
  <si>
    <t>Lam. Projeto</t>
  </si>
  <si>
    <t>Pressão 1 (kg/cm2)</t>
  </si>
  <si>
    <t>Tempo por volta (h)</t>
  </si>
  <si>
    <t>Lâmina bruta (mm)</t>
  </si>
  <si>
    <t>Comp.pivô a ultima torre</t>
  </si>
  <si>
    <t>Vazâo lida</t>
  </si>
  <si>
    <t>Velocidade</t>
  </si>
  <si>
    <t>Raio irrigado</t>
  </si>
  <si>
    <t>Leitura no percentimetro (%)</t>
  </si>
  <si>
    <t>Evaporação no ensaio (mm)</t>
  </si>
  <si>
    <t>C</t>
  </si>
  <si>
    <t>D</t>
  </si>
  <si>
    <t>Tempo de giro a 100%</t>
  </si>
  <si>
    <t>Lâmina bruta a 100%</t>
  </si>
  <si>
    <t>Velocidade proporcional</t>
  </si>
  <si>
    <t xml:space="preserve">Vazão lida (m3/h) </t>
  </si>
  <si>
    <t>1º</t>
  </si>
  <si>
    <t>2º</t>
  </si>
  <si>
    <t>3º</t>
  </si>
  <si>
    <t>4º</t>
  </si>
  <si>
    <t>5º</t>
  </si>
  <si>
    <t>6º</t>
  </si>
  <si>
    <t>7º</t>
  </si>
  <si>
    <t>b</t>
  </si>
  <si>
    <t>CUC</t>
  </si>
  <si>
    <t>Pressão de trabalho</t>
  </si>
  <si>
    <t>Eficiência de aplicação</t>
  </si>
  <si>
    <t>COMO ESTÁ HOJE</t>
  </si>
  <si>
    <t>COMO FICA DEPOIS DO REMANEJAMENTO DE BOCAIS</t>
  </si>
  <si>
    <t>Nº do bico na sequencia atual</t>
  </si>
  <si>
    <t>Nº do bico depois da realocação</t>
  </si>
  <si>
    <t>ANTES</t>
  </si>
  <si>
    <t>DEPOIS</t>
  </si>
  <si>
    <t>média (Li) mm</t>
  </si>
  <si>
    <t>ponderada (Li . Si) mm</t>
  </si>
  <si>
    <t>Si . | Li - Lmp|</t>
  </si>
  <si>
    <t>Lmp</t>
  </si>
  <si>
    <t>LP25</t>
  </si>
  <si>
    <t>Lâmina (mm)</t>
  </si>
  <si>
    <t>Àrea corespondente Ai (ha)</t>
  </si>
  <si>
    <t xml:space="preserve">ID do </t>
  </si>
  <si>
    <t xml:space="preserve">Lamina Média Ponderada </t>
  </si>
  <si>
    <t>Lâm. Média Ponderada</t>
  </si>
  <si>
    <t>D do bocal depois</t>
  </si>
  <si>
    <t xml:space="preserve">D do bocal antes </t>
  </si>
  <si>
    <t>Distância</t>
  </si>
  <si>
    <t>FAZENDA JALAPÃO</t>
  </si>
  <si>
    <t>TABELA DE APLICAÇÃO DE ÁGUA DO PIVÔ AVALIADO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</si>
</sst>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_(* #,##0.00_);_(* \(#,##0.00\);_(* &quot;-&quot;??_);_(@_)"/>
    <numFmt numFmtId="165" formatCode="0.0"/>
    <numFmt numFmtId="166" formatCode="0.000"/>
    <numFmt numFmtId="167" formatCode="_(* #,##0.000_);_(* \(#,##0.000\);_(* &quot;-&quot;??_);_(@_)"/>
    <numFmt numFmtId="168" formatCode="#,##0.0"/>
  </numFmts>
  <fonts count="18" x14ac:knownFonts="1">
    <font>
      <sz val="10"/>
      <name val="Arial"/>
    </font>
    <font>
      <sz val="10"/>
      <name val="Arial"/>
    </font>
    <font>
      <sz val="16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indexed="81"/>
      <name val="Tahoma"/>
      <family val="2"/>
    </font>
    <font>
      <b/>
      <sz val="10"/>
      <color indexed="81"/>
      <name val="Tahoma"/>
      <family val="2"/>
    </font>
    <font>
      <b/>
      <sz val="16"/>
      <name val="Arial"/>
      <family val="2"/>
    </font>
    <font>
      <sz val="16"/>
      <name val="Arial"/>
      <family val="2"/>
    </font>
    <font>
      <b/>
      <sz val="16"/>
      <color indexed="10"/>
      <name val="Arial"/>
      <family val="2"/>
    </font>
    <font>
      <b/>
      <sz val="14"/>
      <color indexed="81"/>
      <name val="Tahoma"/>
      <family val="2"/>
    </font>
    <font>
      <sz val="14"/>
      <color indexed="81"/>
      <name val="Tahoma"/>
      <family val="2"/>
    </font>
    <font>
      <b/>
      <sz val="16"/>
      <color indexed="81"/>
      <name val="Segoe UI"/>
      <family val="2"/>
    </font>
    <font>
      <sz val="16"/>
      <color indexed="81"/>
      <name val="Segoe UI"/>
      <family val="2"/>
    </font>
    <font>
      <sz val="11"/>
      <name val="Calibri"/>
      <family val="2"/>
    </font>
    <font>
      <sz val="10"/>
      <color rgb="FF007BB8"/>
      <name val="Arial"/>
      <family val="2"/>
    </font>
    <font>
      <sz val="10"/>
      <color rgb="FFED0000"/>
      <name val="Arial"/>
      <family val="2"/>
    </font>
    <font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178">
    <xf numFmtId="0" fontId="0" fillId="0" borderId="0" xfId="0"/>
    <xf numFmtId="0" fontId="0" fillId="0" borderId="0" xfId="0" applyAlignment="1">
      <alignment horizontal="center"/>
    </xf>
    <xf numFmtId="0" fontId="3" fillId="2" borderId="1" xfId="0" applyFont="1" applyFill="1" applyBorder="1" applyAlignment="1" applyProtection="1">
      <alignment horizontal="center"/>
      <protection locked="0"/>
    </xf>
    <xf numFmtId="0" fontId="3" fillId="2" borderId="2" xfId="0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2" fillId="0" borderId="0" xfId="0" applyFont="1" applyProtection="1"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" xfId="0" applyFont="1" applyBorder="1" applyProtection="1">
      <protection locked="0"/>
    </xf>
    <xf numFmtId="165" fontId="2" fillId="0" borderId="0" xfId="0" applyNumberFormat="1" applyFont="1" applyProtection="1">
      <protection locked="0"/>
    </xf>
    <xf numFmtId="167" fontId="0" fillId="0" borderId="0" xfId="0" applyNumberFormat="1" applyAlignment="1" applyProtection="1">
      <alignment horizontal="center"/>
      <protection locked="0"/>
    </xf>
    <xf numFmtId="0" fontId="2" fillId="0" borderId="0" xfId="0" applyFont="1" applyAlignment="1" applyProtection="1">
      <alignment horizontal="center"/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2" fillId="0" borderId="7" xfId="0" applyFont="1" applyBorder="1" applyProtection="1">
      <protection locked="0"/>
    </xf>
    <xf numFmtId="2" fontId="0" fillId="0" borderId="0" xfId="0" applyNumberFormat="1" applyAlignment="1">
      <alignment horizontal="center"/>
    </xf>
    <xf numFmtId="2" fontId="0" fillId="0" borderId="0" xfId="0" applyNumberFormat="1"/>
    <xf numFmtId="2" fontId="0" fillId="0" borderId="8" xfId="0" applyNumberFormat="1" applyBorder="1" applyAlignment="1">
      <alignment horizontal="center"/>
    </xf>
    <xf numFmtId="2" fontId="7" fillId="0" borderId="7" xfId="0" applyNumberFormat="1" applyFont="1" applyBorder="1" applyProtection="1">
      <protection locked="0"/>
    </xf>
    <xf numFmtId="2" fontId="7" fillId="0" borderId="9" xfId="0" applyNumberFormat="1" applyFont="1" applyBorder="1" applyProtection="1">
      <protection locked="0"/>
    </xf>
    <xf numFmtId="0" fontId="2" fillId="0" borderId="9" xfId="0" applyFont="1" applyBorder="1" applyProtection="1"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4" xfId="0" applyFont="1" applyBorder="1" applyProtection="1">
      <protection locked="0"/>
    </xf>
    <xf numFmtId="0" fontId="2" fillId="0" borderId="11" xfId="0" applyFont="1" applyBorder="1" applyProtection="1">
      <protection locked="0"/>
    </xf>
    <xf numFmtId="0" fontId="2" fillId="0" borderId="12" xfId="0" applyFont="1" applyBorder="1" applyProtection="1">
      <protection locked="0"/>
    </xf>
    <xf numFmtId="0" fontId="2" fillId="0" borderId="13" xfId="0" applyFont="1" applyBorder="1" applyProtection="1">
      <protection locked="0"/>
    </xf>
    <xf numFmtId="0" fontId="2" fillId="0" borderId="14" xfId="0" applyFont="1" applyBorder="1" applyProtection="1">
      <protection locked="0"/>
    </xf>
    <xf numFmtId="0" fontId="2" fillId="0" borderId="15" xfId="0" applyFont="1" applyBorder="1" applyProtection="1">
      <protection locked="0"/>
    </xf>
    <xf numFmtId="0" fontId="2" fillId="0" borderId="16" xfId="0" applyFont="1" applyBorder="1" applyProtection="1">
      <protection locked="0"/>
    </xf>
    <xf numFmtId="0" fontId="2" fillId="0" borderId="17" xfId="0" applyFont="1" applyBorder="1" applyProtection="1">
      <protection locked="0"/>
    </xf>
    <xf numFmtId="0" fontId="2" fillId="0" borderId="18" xfId="0" applyFont="1" applyBorder="1" applyProtection="1">
      <protection locked="0"/>
    </xf>
    <xf numFmtId="0" fontId="7" fillId="0" borderId="19" xfId="0" applyFont="1" applyBorder="1" applyProtection="1">
      <protection locked="0"/>
    </xf>
    <xf numFmtId="165" fontId="7" fillId="3" borderId="7" xfId="0" applyNumberFormat="1" applyFont="1" applyFill="1" applyBorder="1"/>
    <xf numFmtId="165" fontId="7" fillId="0" borderId="7" xfId="0" applyNumberFormat="1" applyFont="1" applyBorder="1" applyProtection="1">
      <protection locked="0"/>
    </xf>
    <xf numFmtId="0" fontId="7" fillId="0" borderId="7" xfId="0" applyFont="1" applyBorder="1" applyProtection="1">
      <protection locked="0"/>
    </xf>
    <xf numFmtId="0" fontId="2" fillId="0" borderId="14" xfId="0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2" fillId="4" borderId="3" xfId="0" applyFont="1" applyFill="1" applyBorder="1" applyAlignment="1" applyProtection="1">
      <alignment horizontal="center"/>
      <protection locked="0"/>
    </xf>
    <xf numFmtId="0" fontId="2" fillId="0" borderId="21" xfId="0" applyFont="1" applyBorder="1" applyProtection="1">
      <protection locked="0"/>
    </xf>
    <xf numFmtId="0" fontId="2" fillId="0" borderId="21" xfId="0" applyFont="1" applyBorder="1" applyAlignment="1" applyProtection="1">
      <alignment horizontal="center"/>
      <protection locked="0"/>
    </xf>
    <xf numFmtId="0" fontId="7" fillId="0" borderId="21" xfId="0" applyFont="1" applyBorder="1" applyAlignment="1" applyProtection="1">
      <alignment horizontal="center"/>
      <protection locked="0"/>
    </xf>
    <xf numFmtId="2" fontId="7" fillId="0" borderId="5" xfId="0" applyNumberFormat="1" applyFont="1" applyBorder="1" applyAlignment="1" applyProtection="1">
      <alignment horizontal="center"/>
      <protection locked="0"/>
    </xf>
    <xf numFmtId="0" fontId="7" fillId="0" borderId="21" xfId="0" applyFont="1" applyBorder="1" applyProtection="1">
      <protection locked="0"/>
    </xf>
    <xf numFmtId="0" fontId="7" fillId="4" borderId="22" xfId="0" applyFont="1" applyFill="1" applyBorder="1" applyAlignment="1" applyProtection="1">
      <alignment horizontal="center"/>
      <protection locked="0"/>
    </xf>
    <xf numFmtId="2" fontId="7" fillId="4" borderId="5" xfId="0" applyNumberFormat="1" applyFont="1" applyFill="1" applyBorder="1" applyAlignment="1" applyProtection="1">
      <alignment horizontal="center"/>
      <protection locked="0"/>
    </xf>
    <xf numFmtId="0" fontId="7" fillId="0" borderId="22" xfId="0" applyFont="1" applyBorder="1" applyAlignment="1" applyProtection="1">
      <alignment horizontal="center"/>
      <protection locked="0"/>
    </xf>
    <xf numFmtId="0" fontId="7" fillId="0" borderId="5" xfId="0" applyFont="1" applyBorder="1" applyAlignment="1" applyProtection="1">
      <alignment horizontal="center"/>
      <protection locked="0"/>
    </xf>
    <xf numFmtId="0" fontId="9" fillId="0" borderId="21" xfId="0" applyFont="1" applyBorder="1" applyAlignment="1" applyProtection="1">
      <alignment horizontal="center"/>
      <protection locked="0"/>
    </xf>
    <xf numFmtId="0" fontId="9" fillId="0" borderId="22" xfId="0" applyFont="1" applyBorder="1" applyAlignment="1" applyProtection="1">
      <alignment horizontal="center"/>
      <protection locked="0"/>
    </xf>
    <xf numFmtId="1" fontId="9" fillId="0" borderId="5" xfId="0" applyNumberFormat="1" applyFont="1" applyBorder="1" applyAlignment="1" applyProtection="1">
      <alignment horizontal="center"/>
      <protection locked="0"/>
    </xf>
    <xf numFmtId="0" fontId="2" fillId="0" borderId="23" xfId="0" applyFont="1" applyBorder="1" applyProtection="1">
      <protection locked="0"/>
    </xf>
    <xf numFmtId="0" fontId="2" fillId="0" borderId="24" xfId="0" applyFont="1" applyBorder="1" applyAlignment="1" applyProtection="1">
      <alignment horizontal="center"/>
      <protection locked="0"/>
    </xf>
    <xf numFmtId="0" fontId="2" fillId="0" borderId="25" xfId="0" applyFont="1" applyBorder="1" applyAlignment="1" applyProtection="1">
      <alignment horizontal="center"/>
      <protection locked="0"/>
    </xf>
    <xf numFmtId="0" fontId="2" fillId="4" borderId="24" xfId="0" applyFont="1" applyFill="1" applyBorder="1" applyAlignment="1" applyProtection="1">
      <alignment horizontal="center"/>
      <protection locked="0"/>
    </xf>
    <xf numFmtId="0" fontId="2" fillId="0" borderId="19" xfId="0" applyFont="1" applyBorder="1" applyAlignment="1" applyProtection="1">
      <alignment horizontal="center"/>
      <protection locked="0"/>
    </xf>
    <xf numFmtId="0" fontId="2" fillId="0" borderId="9" xfId="0" applyFont="1" applyBorder="1" applyAlignment="1" applyProtection="1">
      <alignment horizontal="center"/>
      <protection locked="0"/>
    </xf>
    <xf numFmtId="0" fontId="2" fillId="0" borderId="26" xfId="0" applyFont="1" applyBorder="1" applyProtection="1">
      <protection locked="0"/>
    </xf>
    <xf numFmtId="0" fontId="2" fillId="0" borderId="1" xfId="0" applyFont="1" applyBorder="1" applyProtection="1">
      <protection locked="0"/>
    </xf>
    <xf numFmtId="4" fontId="2" fillId="0" borderId="23" xfId="0" applyNumberFormat="1" applyFont="1" applyBorder="1" applyAlignment="1" applyProtection="1">
      <alignment horizontal="center"/>
      <protection locked="0"/>
    </xf>
    <xf numFmtId="4" fontId="8" fillId="0" borderId="27" xfId="0" applyNumberFormat="1" applyFont="1" applyBorder="1" applyAlignment="1">
      <alignment horizontal="center"/>
    </xf>
    <xf numFmtId="4" fontId="8" fillId="0" borderId="28" xfId="0" applyNumberFormat="1" applyFont="1" applyBorder="1" applyAlignment="1">
      <alignment horizontal="center"/>
    </xf>
    <xf numFmtId="4" fontId="8" fillId="0" borderId="29" xfId="0" applyNumberFormat="1" applyFont="1" applyBorder="1" applyAlignment="1">
      <alignment horizontal="center"/>
    </xf>
    <xf numFmtId="4" fontId="2" fillId="0" borderId="27" xfId="0" applyNumberFormat="1" applyFont="1" applyBorder="1" applyAlignment="1" applyProtection="1">
      <alignment horizontal="center"/>
      <protection locked="0"/>
    </xf>
    <xf numFmtId="4" fontId="2" fillId="0" borderId="28" xfId="0" applyNumberFormat="1" applyFont="1" applyBorder="1" applyAlignment="1" applyProtection="1">
      <alignment horizontal="center"/>
      <protection locked="0"/>
    </xf>
    <xf numFmtId="4" fontId="2" fillId="0" borderId="29" xfId="0" applyNumberFormat="1" applyFont="1" applyBorder="1" applyAlignment="1" applyProtection="1">
      <alignment horizontal="center"/>
      <protection locked="0"/>
    </xf>
    <xf numFmtId="4" fontId="2" fillId="0" borderId="7" xfId="0" applyNumberFormat="1" applyFont="1" applyBorder="1" applyAlignment="1" applyProtection="1">
      <alignment horizontal="center"/>
      <protection locked="0"/>
    </xf>
    <xf numFmtId="4" fontId="8" fillId="0" borderId="30" xfId="0" applyNumberFormat="1" applyFont="1" applyBorder="1" applyAlignment="1">
      <alignment horizontal="center"/>
    </xf>
    <xf numFmtId="4" fontId="8" fillId="0" borderId="8" xfId="0" applyNumberFormat="1" applyFont="1" applyBorder="1" applyAlignment="1">
      <alignment horizontal="center"/>
    </xf>
    <xf numFmtId="4" fontId="8" fillId="0" borderId="31" xfId="0" applyNumberFormat="1" applyFont="1" applyBorder="1" applyAlignment="1">
      <alignment horizontal="center"/>
    </xf>
    <xf numFmtId="4" fontId="2" fillId="0" borderId="30" xfId="0" applyNumberFormat="1" applyFont="1" applyBorder="1" applyAlignment="1" applyProtection="1">
      <alignment horizontal="center"/>
      <protection locked="0"/>
    </xf>
    <xf numFmtId="4" fontId="2" fillId="0" borderId="8" xfId="0" applyNumberFormat="1" applyFont="1" applyBorder="1" applyAlignment="1" applyProtection="1">
      <alignment horizontal="center"/>
      <protection locked="0"/>
    </xf>
    <xf numFmtId="4" fontId="2" fillId="0" borderId="31" xfId="0" applyNumberFormat="1" applyFont="1" applyBorder="1" applyAlignment="1" applyProtection="1">
      <alignment horizontal="center"/>
      <protection locked="0"/>
    </xf>
    <xf numFmtId="4" fontId="2" fillId="0" borderId="30" xfId="0" applyNumberFormat="1" applyFont="1" applyBorder="1" applyAlignment="1">
      <alignment horizontal="center"/>
    </xf>
    <xf numFmtId="4" fontId="8" fillId="0" borderId="32" xfId="0" applyNumberFormat="1" applyFont="1" applyBorder="1" applyAlignment="1">
      <alignment horizontal="center"/>
    </xf>
    <xf numFmtId="4" fontId="2" fillId="0" borderId="26" xfId="0" applyNumberFormat="1" applyFont="1" applyBorder="1" applyAlignment="1" applyProtection="1">
      <alignment horizontal="center"/>
      <protection locked="0"/>
    </xf>
    <xf numFmtId="4" fontId="8" fillId="0" borderId="33" xfId="0" applyNumberFormat="1" applyFont="1" applyBorder="1" applyAlignment="1">
      <alignment horizontal="center"/>
    </xf>
    <xf numFmtId="4" fontId="8" fillId="0" borderId="34" xfId="0" applyNumberFormat="1" applyFont="1" applyBorder="1" applyAlignment="1">
      <alignment horizontal="center"/>
    </xf>
    <xf numFmtId="4" fontId="8" fillId="0" borderId="35" xfId="0" applyNumberFormat="1" applyFont="1" applyBorder="1" applyAlignment="1">
      <alignment horizontal="center"/>
    </xf>
    <xf numFmtId="4" fontId="2" fillId="0" borderId="33" xfId="0" applyNumberFormat="1" applyFont="1" applyBorder="1" applyAlignment="1" applyProtection="1">
      <alignment horizontal="center"/>
      <protection locked="0"/>
    </xf>
    <xf numFmtId="4" fontId="2" fillId="0" borderId="34" xfId="0" applyNumberFormat="1" applyFont="1" applyBorder="1" applyAlignment="1" applyProtection="1">
      <alignment horizontal="center"/>
      <protection locked="0"/>
    </xf>
    <xf numFmtId="4" fontId="2" fillId="0" borderId="35" xfId="0" applyNumberFormat="1" applyFont="1" applyBorder="1" applyAlignment="1" applyProtection="1">
      <alignment horizontal="center"/>
      <protection locked="0"/>
    </xf>
    <xf numFmtId="4" fontId="2" fillId="0" borderId="2" xfId="0" applyNumberFormat="1" applyFont="1" applyBorder="1" applyAlignment="1" applyProtection="1">
      <alignment horizontal="center"/>
      <protection locked="0"/>
    </xf>
    <xf numFmtId="4" fontId="2" fillId="0" borderId="36" xfId="0" applyNumberFormat="1" applyFont="1" applyBorder="1" applyAlignment="1" applyProtection="1">
      <alignment horizontal="center"/>
      <protection locked="0"/>
    </xf>
    <xf numFmtId="0" fontId="0" fillId="2" borderId="8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5" fillId="0" borderId="8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16" fillId="0" borderId="8" xfId="0" applyFont="1" applyBorder="1" applyAlignment="1">
      <alignment horizontal="center"/>
    </xf>
    <xf numFmtId="0" fontId="14" fillId="0" borderId="0" xfId="0" applyFont="1" applyAlignment="1">
      <alignment horizontal="center" vertical="center"/>
    </xf>
    <xf numFmtId="2" fontId="0" fillId="0" borderId="8" xfId="0" applyNumberFormat="1" applyBorder="1" applyAlignment="1" applyProtection="1">
      <alignment horizontal="center"/>
      <protection locked="0"/>
    </xf>
    <xf numFmtId="2" fontId="4" fillId="0" borderId="8" xfId="0" applyNumberFormat="1" applyFont="1" applyBorder="1" applyAlignment="1">
      <alignment horizontal="center"/>
    </xf>
    <xf numFmtId="0" fontId="3" fillId="0" borderId="37" xfId="0" applyFont="1" applyBorder="1" applyAlignment="1" applyProtection="1">
      <alignment horizontal="center"/>
      <protection locked="0"/>
    </xf>
    <xf numFmtId="166" fontId="0" fillId="0" borderId="30" xfId="0" applyNumberFormat="1" applyBorder="1" applyAlignment="1">
      <alignment horizontal="center"/>
    </xf>
    <xf numFmtId="166" fontId="0" fillId="0" borderId="8" xfId="0" applyNumberFormat="1" applyBorder="1" applyAlignment="1">
      <alignment horizontal="center"/>
    </xf>
    <xf numFmtId="2" fontId="17" fillId="0" borderId="8" xfId="0" applyNumberFormat="1" applyFont="1" applyBorder="1" applyAlignment="1">
      <alignment horizontal="center"/>
    </xf>
    <xf numFmtId="165" fontId="0" fillId="0" borderId="8" xfId="0" applyNumberFormat="1" applyBorder="1" applyAlignment="1">
      <alignment horizontal="center"/>
    </xf>
    <xf numFmtId="0" fontId="0" fillId="0" borderId="38" xfId="0" applyBorder="1" applyAlignment="1">
      <alignment horizontal="center"/>
    </xf>
    <xf numFmtId="2" fontId="4" fillId="0" borderId="28" xfId="0" applyNumberFormat="1" applyFont="1" applyBorder="1" applyAlignment="1">
      <alignment horizontal="center"/>
    </xf>
    <xf numFmtId="2" fontId="0" fillId="0" borderId="28" xfId="0" applyNumberFormat="1" applyBorder="1" applyAlignment="1">
      <alignment horizontal="center"/>
    </xf>
    <xf numFmtId="0" fontId="0" fillId="0" borderId="28" xfId="0" applyBorder="1" applyAlignment="1">
      <alignment horizontal="center"/>
    </xf>
    <xf numFmtId="0" fontId="3" fillId="2" borderId="39" xfId="0" applyFont="1" applyFill="1" applyBorder="1" applyAlignment="1" applyProtection="1">
      <alignment horizontal="center"/>
      <protection locked="0"/>
    </xf>
    <xf numFmtId="0" fontId="3" fillId="2" borderId="36" xfId="0" applyFont="1" applyFill="1" applyBorder="1" applyAlignment="1" applyProtection="1">
      <alignment horizontal="center"/>
      <protection locked="0"/>
    </xf>
    <xf numFmtId="166" fontId="0" fillId="0" borderId="0" xfId="0" applyNumberFormat="1" applyAlignment="1">
      <alignment horizontal="center"/>
    </xf>
    <xf numFmtId="165" fontId="4" fillId="0" borderId="31" xfId="0" applyNumberFormat="1" applyFont="1" applyBorder="1" applyAlignment="1" applyProtection="1">
      <alignment horizontal="center"/>
      <protection locked="0"/>
    </xf>
    <xf numFmtId="0" fontId="0" fillId="0" borderId="24" xfId="0" applyBorder="1" applyAlignment="1">
      <alignment horizontal="center"/>
    </xf>
    <xf numFmtId="166" fontId="0" fillId="0" borderId="24" xfId="0" applyNumberFormat="1" applyBorder="1" applyAlignment="1">
      <alignment horizontal="center"/>
    </xf>
    <xf numFmtId="2" fontId="0" fillId="0" borderId="24" xfId="0" applyNumberFormat="1" applyBorder="1" applyAlignment="1">
      <alignment horizontal="center"/>
    </xf>
    <xf numFmtId="165" fontId="0" fillId="0" borderId="24" xfId="0" applyNumberFormat="1" applyBorder="1" applyAlignment="1">
      <alignment horizontal="center"/>
    </xf>
    <xf numFmtId="0" fontId="0" fillId="0" borderId="25" xfId="0" applyBorder="1" applyAlignment="1" applyProtection="1">
      <alignment horizontal="center"/>
      <protection locked="0"/>
    </xf>
    <xf numFmtId="0" fontId="0" fillId="2" borderId="10" xfId="0" applyFill="1" applyBorder="1" applyAlignment="1" applyProtection="1">
      <alignment horizontal="center"/>
      <protection locked="0"/>
    </xf>
    <xf numFmtId="0" fontId="0" fillId="2" borderId="40" xfId="0" applyFill="1" applyBorder="1" applyAlignment="1" applyProtection="1">
      <alignment horizontal="center"/>
      <protection locked="0"/>
    </xf>
    <xf numFmtId="167" fontId="0" fillId="2" borderId="40" xfId="0" applyNumberFormat="1" applyFill="1" applyBorder="1" applyAlignment="1" applyProtection="1">
      <alignment horizontal="center"/>
      <protection locked="0"/>
    </xf>
    <xf numFmtId="2" fontId="0" fillId="2" borderId="40" xfId="0" applyNumberFormat="1" applyFill="1" applyBorder="1" applyAlignment="1" applyProtection="1">
      <alignment horizontal="center"/>
      <protection locked="0"/>
    </xf>
    <xf numFmtId="0" fontId="0" fillId="2" borderId="41" xfId="0" applyFill="1" applyBorder="1" applyAlignment="1" applyProtection="1">
      <alignment horizontal="center"/>
      <protection locked="0"/>
    </xf>
    <xf numFmtId="3" fontId="0" fillId="0" borderId="42" xfId="2" applyNumberFormat="1" applyFont="1" applyFill="1" applyBorder="1" applyAlignment="1" applyProtection="1">
      <alignment horizontal="center"/>
      <protection locked="0"/>
    </xf>
    <xf numFmtId="3" fontId="0" fillId="0" borderId="32" xfId="2" applyNumberFormat="1" applyFont="1" applyFill="1" applyBorder="1" applyAlignment="1" applyProtection="1">
      <alignment horizontal="center"/>
      <protection locked="0"/>
    </xf>
    <xf numFmtId="3" fontId="0" fillId="0" borderId="43" xfId="2" applyNumberFormat="1" applyFont="1" applyFill="1" applyBorder="1" applyAlignment="1" applyProtection="1">
      <alignment horizontal="center"/>
      <protection locked="0"/>
    </xf>
    <xf numFmtId="0" fontId="3" fillId="0" borderId="1" xfId="0" applyFont="1" applyBorder="1" applyAlignment="1" applyProtection="1">
      <alignment horizontal="center"/>
      <protection locked="0"/>
    </xf>
    <xf numFmtId="0" fontId="3" fillId="0" borderId="2" xfId="0" applyFont="1" applyBorder="1" applyAlignment="1" applyProtection="1">
      <alignment horizontal="center"/>
      <protection locked="0"/>
    </xf>
    <xf numFmtId="0" fontId="3" fillId="0" borderId="36" xfId="0" applyFont="1" applyBorder="1" applyAlignment="1" applyProtection="1">
      <alignment horizontal="center"/>
      <protection locked="0"/>
    </xf>
    <xf numFmtId="2" fontId="0" fillId="0" borderId="28" xfId="0" applyNumberFormat="1" applyBorder="1" applyAlignment="1" applyProtection="1">
      <alignment horizontal="center"/>
      <protection locked="0"/>
    </xf>
    <xf numFmtId="0" fontId="3" fillId="0" borderId="44" xfId="0" applyFont="1" applyBorder="1" applyAlignment="1" applyProtection="1">
      <alignment horizontal="center"/>
      <protection locked="0"/>
    </xf>
    <xf numFmtId="0" fontId="3" fillId="0" borderId="45" xfId="0" applyFont="1" applyBorder="1" applyAlignment="1" applyProtection="1">
      <alignment horizontal="center"/>
      <protection locked="0"/>
    </xf>
    <xf numFmtId="0" fontId="3" fillId="0" borderId="46" xfId="0" applyFont="1" applyBorder="1" applyAlignment="1" applyProtection="1">
      <alignment horizontal="center"/>
      <protection locked="0"/>
    </xf>
    <xf numFmtId="0" fontId="3" fillId="0" borderId="47" xfId="0" applyFont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0" borderId="40" xfId="0" applyFont="1" applyBorder="1" applyAlignment="1" applyProtection="1">
      <alignment horizontal="center"/>
      <protection locked="0"/>
    </xf>
    <xf numFmtId="0" fontId="4" fillId="0" borderId="41" xfId="0" applyFont="1" applyBorder="1" applyAlignment="1" applyProtection="1">
      <alignment horizontal="center"/>
      <protection locked="0"/>
    </xf>
    <xf numFmtId="168" fontId="0" fillId="0" borderId="48" xfId="2" applyNumberFormat="1" applyFont="1" applyFill="1" applyBorder="1" applyAlignment="1" applyProtection="1">
      <alignment horizontal="center"/>
      <protection locked="0"/>
    </xf>
    <xf numFmtId="168" fontId="0" fillId="0" borderId="31" xfId="2" applyNumberFormat="1" applyFont="1" applyFill="1" applyBorder="1" applyAlignment="1" applyProtection="1">
      <alignment horizontal="center"/>
      <protection locked="0"/>
    </xf>
    <xf numFmtId="2" fontId="0" fillId="0" borderId="28" xfId="2" applyNumberFormat="1" applyFont="1" applyFill="1" applyBorder="1" applyAlignment="1" applyProtection="1">
      <alignment horizontal="center"/>
      <protection locked="0"/>
    </xf>
    <xf numFmtId="2" fontId="0" fillId="0" borderId="49" xfId="2" applyNumberFormat="1" applyFont="1" applyFill="1" applyBorder="1" applyAlignment="1" applyProtection="1">
      <alignment horizontal="center"/>
      <protection locked="0"/>
    </xf>
    <xf numFmtId="2" fontId="0" fillId="0" borderId="8" xfId="2" applyNumberFormat="1" applyFont="1" applyFill="1" applyBorder="1" applyAlignment="1" applyProtection="1">
      <alignment horizontal="center"/>
      <protection locked="0"/>
    </xf>
    <xf numFmtId="2" fontId="4" fillId="0" borderId="8" xfId="0" applyNumberFormat="1" applyFont="1" applyBorder="1" applyAlignment="1" applyProtection="1">
      <alignment horizontal="center"/>
      <protection locked="0"/>
    </xf>
    <xf numFmtId="165" fontId="2" fillId="0" borderId="4" xfId="0" applyNumberFormat="1" applyFont="1" applyBorder="1" applyAlignment="1" applyProtection="1">
      <alignment horizontal="center"/>
      <protection locked="0"/>
    </xf>
    <xf numFmtId="165" fontId="2" fillId="0" borderId="12" xfId="0" applyNumberFormat="1" applyFont="1" applyBorder="1" applyAlignment="1" applyProtection="1">
      <alignment horizontal="center"/>
      <protection locked="0"/>
    </xf>
    <xf numFmtId="165" fontId="2" fillId="0" borderId="14" xfId="0" applyNumberFormat="1" applyFont="1" applyBorder="1" applyAlignment="1" applyProtection="1">
      <alignment horizontal="center"/>
      <protection locked="0"/>
    </xf>
    <xf numFmtId="165" fontId="2" fillId="0" borderId="50" xfId="0" applyNumberFormat="1" applyFont="1" applyBorder="1" applyAlignment="1" applyProtection="1">
      <alignment horizontal="center"/>
      <protection locked="0"/>
    </xf>
    <xf numFmtId="0" fontId="2" fillId="0" borderId="27" xfId="0" applyFont="1" applyBorder="1" applyAlignment="1" applyProtection="1">
      <alignment horizontal="center"/>
      <protection locked="0"/>
    </xf>
    <xf numFmtId="2" fontId="2" fillId="0" borderId="51" xfId="0" applyNumberFormat="1" applyFont="1" applyBorder="1" applyAlignment="1" applyProtection="1">
      <alignment horizontal="center"/>
      <protection locked="0"/>
    </xf>
    <xf numFmtId="2" fontId="2" fillId="0" borderId="13" xfId="0" applyNumberFormat="1" applyFont="1" applyBorder="1" applyAlignment="1" applyProtection="1">
      <alignment horizontal="center"/>
      <protection locked="0"/>
    </xf>
    <xf numFmtId="2" fontId="2" fillId="0" borderId="15" xfId="0" applyNumberFormat="1" applyFont="1" applyBorder="1" applyAlignment="1" applyProtection="1">
      <alignment horizontal="center"/>
      <protection locked="0"/>
    </xf>
    <xf numFmtId="2" fontId="2" fillId="0" borderId="11" xfId="0" applyNumberFormat="1" applyFont="1" applyBorder="1" applyAlignment="1" applyProtection="1">
      <alignment horizontal="center"/>
      <protection locked="0"/>
    </xf>
    <xf numFmtId="1" fontId="2" fillId="0" borderId="19" xfId="0" applyNumberFormat="1" applyFont="1" applyBorder="1" applyAlignment="1" applyProtection="1">
      <alignment horizontal="center"/>
      <protection locked="0"/>
    </xf>
    <xf numFmtId="1" fontId="2" fillId="0" borderId="7" xfId="0" applyNumberFormat="1" applyFont="1" applyBorder="1" applyAlignment="1" applyProtection="1">
      <alignment horizontal="center"/>
      <protection locked="0"/>
    </xf>
    <xf numFmtId="1" fontId="2" fillId="0" borderId="9" xfId="0" applyNumberFormat="1" applyFont="1" applyBorder="1" applyAlignment="1" applyProtection="1">
      <alignment horizontal="center"/>
      <protection locked="0"/>
    </xf>
    <xf numFmtId="0" fontId="2" fillId="0" borderId="56" xfId="0" applyFont="1" applyBorder="1" applyAlignment="1" applyProtection="1">
      <alignment horizontal="center" vertical="center" wrapText="1"/>
      <protection locked="0"/>
    </xf>
    <xf numFmtId="0" fontId="2" fillId="0" borderId="25" xfId="0" applyFont="1" applyBorder="1" applyAlignment="1" applyProtection="1">
      <alignment horizontal="center" vertical="center" wrapText="1"/>
      <protection locked="0"/>
    </xf>
    <xf numFmtId="0" fontId="2" fillId="0" borderId="52" xfId="0" applyFont="1" applyBorder="1" applyAlignment="1" applyProtection="1">
      <alignment horizontal="center"/>
      <protection locked="0"/>
    </xf>
    <xf numFmtId="0" fontId="2" fillId="0" borderId="45" xfId="0" applyFont="1" applyBorder="1" applyAlignment="1" applyProtection="1">
      <alignment horizontal="center"/>
      <protection locked="0"/>
    </xf>
    <xf numFmtId="4" fontId="2" fillId="0" borderId="37" xfId="0" applyNumberFormat="1" applyFont="1" applyBorder="1" applyAlignment="1" applyProtection="1">
      <alignment horizontal="center"/>
      <protection locked="0"/>
    </xf>
    <xf numFmtId="4" fontId="2" fillId="0" borderId="40" xfId="0" applyNumberFormat="1" applyFont="1" applyBorder="1" applyAlignment="1" applyProtection="1">
      <alignment horizontal="center"/>
      <protection locked="0"/>
    </xf>
    <xf numFmtId="4" fontId="2" fillId="0" borderId="39" xfId="0" applyNumberFormat="1" applyFont="1" applyBorder="1" applyAlignment="1" applyProtection="1">
      <alignment horizontal="center"/>
      <protection locked="0"/>
    </xf>
    <xf numFmtId="0" fontId="2" fillId="0" borderId="21" xfId="0" applyFont="1" applyBorder="1" applyAlignment="1" applyProtection="1">
      <alignment horizontal="center"/>
      <protection locked="0"/>
    </xf>
    <xf numFmtId="0" fontId="2" fillId="0" borderId="5" xfId="0" applyFont="1" applyBorder="1" applyAlignment="1" applyProtection="1">
      <alignment horizontal="center"/>
      <protection locked="0"/>
    </xf>
    <xf numFmtId="0" fontId="2" fillId="0" borderId="3" xfId="0" applyFont="1" applyBorder="1" applyAlignment="1" applyProtection="1">
      <alignment horizontal="center"/>
      <protection locked="0"/>
    </xf>
    <xf numFmtId="0" fontId="2" fillId="0" borderId="24" xfId="0" applyFont="1" applyBorder="1" applyAlignment="1" applyProtection="1">
      <alignment horizontal="center"/>
      <protection locked="0"/>
    </xf>
    <xf numFmtId="0" fontId="2" fillId="0" borderId="22" xfId="0" applyFont="1" applyBorder="1" applyAlignment="1" applyProtection="1">
      <alignment horizontal="center"/>
      <protection locked="0"/>
    </xf>
    <xf numFmtId="0" fontId="2" fillId="0" borderId="11" xfId="0" applyFont="1" applyBorder="1" applyAlignment="1" applyProtection="1">
      <alignment horizontal="center"/>
      <protection locked="0"/>
    </xf>
    <xf numFmtId="0" fontId="2" fillId="0" borderId="53" xfId="0" applyFont="1" applyBorder="1" applyAlignment="1" applyProtection="1">
      <alignment horizontal="center"/>
      <protection locked="0"/>
    </xf>
    <xf numFmtId="0" fontId="2" fillId="0" borderId="54" xfId="0" applyFont="1" applyBorder="1" applyAlignment="1" applyProtection="1">
      <alignment horizontal="center"/>
      <protection locked="0"/>
    </xf>
    <xf numFmtId="0" fontId="2" fillId="0" borderId="55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0" fontId="4" fillId="0" borderId="2" xfId="0" applyFont="1" applyBorder="1" applyAlignment="1" applyProtection="1">
      <alignment horizontal="center"/>
      <protection locked="0"/>
    </xf>
    <xf numFmtId="0" fontId="0" fillId="0" borderId="36" xfId="0" applyBorder="1" applyAlignment="1" applyProtection="1">
      <alignment horizontal="center"/>
      <protection locked="0"/>
    </xf>
    <xf numFmtId="0" fontId="0" fillId="2" borderId="57" xfId="0" applyFill="1" applyBorder="1" applyAlignment="1">
      <alignment horizontal="center"/>
    </xf>
    <xf numFmtId="0" fontId="0" fillId="2" borderId="58" xfId="0" applyFill="1" applyBorder="1" applyAlignment="1">
      <alignment horizontal="center"/>
    </xf>
    <xf numFmtId="0" fontId="0" fillId="2" borderId="22" xfId="0" applyFill="1" applyBorder="1" applyAlignment="1">
      <alignment horizontal="center"/>
    </xf>
    <xf numFmtId="0" fontId="2" fillId="0" borderId="14" xfId="0" applyFont="1" applyBorder="1" applyAlignment="1" applyProtection="1">
      <alignment horizontal="center"/>
      <protection locked="0"/>
    </xf>
    <xf numFmtId="0" fontId="2" fillId="0" borderId="59" xfId="0" applyFont="1" applyBorder="1" applyAlignment="1" applyProtection="1">
      <alignment horizontal="center"/>
      <protection locked="0"/>
    </xf>
    <xf numFmtId="0" fontId="2" fillId="0" borderId="12" xfId="0" applyFont="1" applyBorder="1" applyAlignment="1" applyProtection="1">
      <alignment horizontal="center"/>
      <protection locked="0"/>
    </xf>
    <xf numFmtId="0" fontId="2" fillId="0" borderId="60" xfId="0" applyFont="1" applyBorder="1" applyAlignment="1" applyProtection="1">
      <alignment horizontal="center"/>
      <protection locked="0"/>
    </xf>
    <xf numFmtId="0" fontId="2" fillId="0" borderId="30" xfId="0" applyFont="1" applyBorder="1" applyAlignment="1" applyProtection="1">
      <alignment horizontal="center"/>
      <protection locked="0"/>
    </xf>
    <xf numFmtId="0" fontId="2" fillId="0" borderId="20" xfId="0" applyFont="1" applyBorder="1" applyAlignment="1" applyProtection="1">
      <alignment horizontal="center"/>
      <protection locked="0"/>
    </xf>
    <xf numFmtId="0" fontId="2" fillId="0" borderId="4" xfId="0" applyFont="1" applyBorder="1" applyAlignment="1" applyProtection="1">
      <alignment horizontal="center"/>
      <protection locked="0"/>
    </xf>
    <xf numFmtId="0" fontId="2" fillId="0" borderId="58" xfId="0" applyFont="1" applyBorder="1" applyAlignment="1" applyProtection="1">
      <alignment horizontal="center"/>
      <protection locked="0"/>
    </xf>
    <xf numFmtId="0" fontId="2" fillId="0" borderId="10" xfId="0" applyFont="1" applyBorder="1" applyAlignment="1" applyProtection="1">
      <alignment horizontal="center"/>
      <protection locked="0"/>
    </xf>
    <xf numFmtId="0" fontId="2" fillId="0" borderId="40" xfId="0" applyFont="1" applyBorder="1" applyAlignment="1" applyProtection="1">
      <alignment horizontal="center"/>
      <protection locked="0"/>
    </xf>
    <xf numFmtId="0" fontId="2" fillId="0" borderId="41" xfId="0" applyFont="1" applyBorder="1" applyAlignment="1" applyProtection="1">
      <alignment horizontal="center"/>
      <protection locked="0"/>
    </xf>
  </cellXfs>
  <cellStyles count="3">
    <cellStyle name="Estilo 1" xfId="1" xr:uid="{BF767CB0-B799-45EA-9A8D-FD9F41E27AE6}"/>
    <cellStyle name="Normal" xfId="0" builtinId="0"/>
    <cellStyle name="Vírgula" xfId="2" builtin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5.xml"/><Relationship Id="rId13" Type="http://schemas.openxmlformats.org/officeDocument/2006/relationships/theme" Target="theme/theme1.xml"/><Relationship Id="rId3" Type="http://schemas.openxmlformats.org/officeDocument/2006/relationships/chartsheet" Target="chartsheets/sheet1.xml"/><Relationship Id="rId7" Type="http://schemas.openxmlformats.org/officeDocument/2006/relationships/chartsheet" Target="chartsheets/sheet4.xml"/><Relationship Id="rId12" Type="http://schemas.openxmlformats.org/officeDocument/2006/relationships/worksheet" Target="worksheets/sheet6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chartsheet" Target="chartsheets/sheet3.xml"/><Relationship Id="rId11" Type="http://schemas.openxmlformats.org/officeDocument/2006/relationships/worksheet" Target="worksheets/sheet5.xml"/><Relationship Id="rId5" Type="http://schemas.openxmlformats.org/officeDocument/2006/relationships/chartsheet" Target="chartsheets/sheet2.xml"/><Relationship Id="rId15" Type="http://schemas.openxmlformats.org/officeDocument/2006/relationships/sharedStrings" Target="sharedStrings.xml"/><Relationship Id="rId10" Type="http://schemas.openxmlformats.org/officeDocument/2006/relationships/chartsheet" Target="chartsheets/sheet6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4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_rels/chart6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6.1898840769903762E-2"/>
          <c:y val="4.2428725299682411E-2"/>
          <c:w val="0.91441371391076121"/>
          <c:h val="0.79376969520488661"/>
        </c:manualLayout>
      </c:layout>
      <c:scatterChart>
        <c:scatterStyle val="lineMarker"/>
        <c:varyColors val="0"/>
        <c:ser>
          <c:idx val="0"/>
          <c:order val="0"/>
          <c:tx>
            <c:strRef>
              <c:f>'Uniformidade dados'!$I$1</c:f>
              <c:strCache>
                <c:ptCount val="1"/>
                <c:pt idx="0">
                  <c:v>Lâm. Média Ponderada</c:v>
                </c:pt>
              </c:strCache>
            </c:strRef>
          </c:tx>
          <c:spPr>
            <a:ln w="12700">
              <a:solidFill>
                <a:srgbClr val="000080"/>
              </a:solidFill>
              <a:prstDash val="solid"/>
            </a:ln>
          </c:spPr>
          <c:marker>
            <c:symbol val="diamond"/>
            <c:size val="5"/>
            <c:spPr>
              <a:solidFill>
                <a:srgbClr val="000080"/>
              </a:solidFill>
              <a:ln>
                <a:solidFill>
                  <a:srgbClr val="000080"/>
                </a:solidFill>
                <a:prstDash val="solid"/>
              </a:ln>
            </c:spPr>
          </c:marker>
          <c:xVal>
            <c:numRef>
              <c:f>'Uniformidade dados'!$H$2:$H$82</c:f>
              <c:numCache>
                <c:formatCode>#,##0.00</c:formatCode>
                <c:ptCount val="81"/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</c:numCache>
            </c:numRef>
          </c:xVal>
          <c:yVal>
            <c:numRef>
              <c:f>'Uniformidade dados'!$I$2:$I$82</c:f>
              <c:numCache>
                <c:formatCode>#,##0.00</c:formatCode>
                <c:ptCount val="81"/>
                <c:pt idx="1">
                  <c:v>5.828692307450476</c:v>
                </c:pt>
                <c:pt idx="2">
                  <c:v>5.828692307450476</c:v>
                </c:pt>
                <c:pt idx="3">
                  <c:v>5.828692307450476</c:v>
                </c:pt>
                <c:pt idx="4">
                  <c:v>5.828692307450476</c:v>
                </c:pt>
                <c:pt idx="5">
                  <c:v>5.828692307450476</c:v>
                </c:pt>
                <c:pt idx="6">
                  <c:v>5.828692307450476</c:v>
                </c:pt>
                <c:pt idx="7">
                  <c:v>5.828692307450476</c:v>
                </c:pt>
                <c:pt idx="8">
                  <c:v>5.828692307450476</c:v>
                </c:pt>
                <c:pt idx="9">
                  <c:v>5.828692307450476</c:v>
                </c:pt>
                <c:pt idx="10">
                  <c:v>5.828692307450476</c:v>
                </c:pt>
                <c:pt idx="11">
                  <c:v>5.828692307450476</c:v>
                </c:pt>
                <c:pt idx="12">
                  <c:v>5.828692307450476</c:v>
                </c:pt>
                <c:pt idx="13">
                  <c:v>5.828692307450476</c:v>
                </c:pt>
                <c:pt idx="14">
                  <c:v>5.828692307450476</c:v>
                </c:pt>
                <c:pt idx="15">
                  <c:v>5.828692307450476</c:v>
                </c:pt>
                <c:pt idx="16">
                  <c:v>5.828692307450476</c:v>
                </c:pt>
                <c:pt idx="17">
                  <c:v>5.828692307450476</c:v>
                </c:pt>
                <c:pt idx="18">
                  <c:v>5.828692307450476</c:v>
                </c:pt>
                <c:pt idx="19">
                  <c:v>5.828692307450476</c:v>
                </c:pt>
                <c:pt idx="20">
                  <c:v>5.828692307450476</c:v>
                </c:pt>
                <c:pt idx="21">
                  <c:v>5.828692307450476</c:v>
                </c:pt>
                <c:pt idx="22">
                  <c:v>5.828692307450476</c:v>
                </c:pt>
                <c:pt idx="23">
                  <c:v>5.828692307450476</c:v>
                </c:pt>
                <c:pt idx="24">
                  <c:v>5.828692307450476</c:v>
                </c:pt>
                <c:pt idx="25">
                  <c:v>5.828692307450476</c:v>
                </c:pt>
                <c:pt idx="26">
                  <c:v>5.828692307450476</c:v>
                </c:pt>
                <c:pt idx="27">
                  <c:v>5.828692307450476</c:v>
                </c:pt>
                <c:pt idx="28">
                  <c:v>5.828692307450476</c:v>
                </c:pt>
                <c:pt idx="29">
                  <c:v>5.828692307450476</c:v>
                </c:pt>
                <c:pt idx="30">
                  <c:v>5.828692307450476</c:v>
                </c:pt>
                <c:pt idx="31">
                  <c:v>5.828692307450476</c:v>
                </c:pt>
                <c:pt idx="32">
                  <c:v>5.828692307450476</c:v>
                </c:pt>
                <c:pt idx="33">
                  <c:v>5.828692307450476</c:v>
                </c:pt>
                <c:pt idx="34">
                  <c:v>5.828692307450476</c:v>
                </c:pt>
                <c:pt idx="35">
                  <c:v>5.828692307450476</c:v>
                </c:pt>
                <c:pt idx="36">
                  <c:v>5.828692307450476</c:v>
                </c:pt>
                <c:pt idx="37">
                  <c:v>5.828692307450476</c:v>
                </c:pt>
                <c:pt idx="38">
                  <c:v>5.828692307450476</c:v>
                </c:pt>
                <c:pt idx="39">
                  <c:v>5.828692307450476</c:v>
                </c:pt>
                <c:pt idx="40">
                  <c:v>5.828692307450476</c:v>
                </c:pt>
                <c:pt idx="41">
                  <c:v>5.828692307450476</c:v>
                </c:pt>
                <c:pt idx="42">
                  <c:v>5.828692307450476</c:v>
                </c:pt>
                <c:pt idx="43">
                  <c:v>5.828692307450476</c:v>
                </c:pt>
                <c:pt idx="44">
                  <c:v>5.828692307450476</c:v>
                </c:pt>
                <c:pt idx="45">
                  <c:v>5.828692307450476</c:v>
                </c:pt>
                <c:pt idx="46">
                  <c:v>5.828692307450476</c:v>
                </c:pt>
                <c:pt idx="47">
                  <c:v>5.828692307450476</c:v>
                </c:pt>
                <c:pt idx="48">
                  <c:v>5.828692307450476</c:v>
                </c:pt>
                <c:pt idx="49">
                  <c:v>5.828692307450476</c:v>
                </c:pt>
                <c:pt idx="50">
                  <c:v>5.828692307450476</c:v>
                </c:pt>
                <c:pt idx="51">
                  <c:v>5.828692307450476</c:v>
                </c:pt>
                <c:pt idx="52">
                  <c:v>5.828692307450476</c:v>
                </c:pt>
                <c:pt idx="53">
                  <c:v>5.828692307450476</c:v>
                </c:pt>
                <c:pt idx="54">
                  <c:v>5.828692307450476</c:v>
                </c:pt>
                <c:pt idx="55">
                  <c:v>5.828692307450476</c:v>
                </c:pt>
                <c:pt idx="56">
                  <c:v>5.828692307450476</c:v>
                </c:pt>
                <c:pt idx="57">
                  <c:v>5.828692307450476</c:v>
                </c:pt>
                <c:pt idx="58">
                  <c:v>5.828692307450476</c:v>
                </c:pt>
                <c:pt idx="59">
                  <c:v>5.828692307450476</c:v>
                </c:pt>
                <c:pt idx="60">
                  <c:v>5.828692307450476</c:v>
                </c:pt>
                <c:pt idx="61">
                  <c:v>5.828692307450476</c:v>
                </c:pt>
                <c:pt idx="62">
                  <c:v>5.828692307450476</c:v>
                </c:pt>
                <c:pt idx="63">
                  <c:v>5.828692307450476</c:v>
                </c:pt>
                <c:pt idx="64">
                  <c:v>5.828692307450476</c:v>
                </c:pt>
                <c:pt idx="65">
                  <c:v>5.828692307450476</c:v>
                </c:pt>
                <c:pt idx="66">
                  <c:v>5.828692307450476</c:v>
                </c:pt>
                <c:pt idx="67">
                  <c:v>5.828692307450476</c:v>
                </c:pt>
                <c:pt idx="68">
                  <c:v>5.828692307450476</c:v>
                </c:pt>
                <c:pt idx="69">
                  <c:v>5.828692307450476</c:v>
                </c:pt>
                <c:pt idx="70">
                  <c:v>5.828692307450476</c:v>
                </c:pt>
                <c:pt idx="71">
                  <c:v>5.828692307450476</c:v>
                </c:pt>
                <c:pt idx="72">
                  <c:v>5.828692307450476</c:v>
                </c:pt>
                <c:pt idx="73">
                  <c:v>5.828692307450476</c:v>
                </c:pt>
                <c:pt idx="74">
                  <c:v>5.828692307450476</c:v>
                </c:pt>
                <c:pt idx="75">
                  <c:v>5.828692307450476</c:v>
                </c:pt>
                <c:pt idx="76">
                  <c:v>5.828692307450476</c:v>
                </c:pt>
                <c:pt idx="77">
                  <c:v>5.828692307450476</c:v>
                </c:pt>
                <c:pt idx="78">
                  <c:v>5.828692307450476</c:v>
                </c:pt>
                <c:pt idx="79">
                  <c:v>5.828692307450476</c:v>
                </c:pt>
                <c:pt idx="80">
                  <c:v>5.828692307450476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970-4E81-84F4-6567466CBBB2}"/>
            </c:ext>
          </c:extLst>
        </c:ser>
        <c:ser>
          <c:idx val="1"/>
          <c:order val="1"/>
          <c:tx>
            <c:strRef>
              <c:f>'Uniformidade dados'!$J$1</c:f>
              <c:strCache>
                <c:ptCount val="1"/>
                <c:pt idx="0">
                  <c:v>Lam. Projeto</c:v>
                </c:pt>
              </c:strCache>
            </c:strRef>
          </c:tx>
          <c:spPr>
            <a:ln w="12700">
              <a:solidFill>
                <a:srgbClr val="339966"/>
              </a:solidFill>
              <a:prstDash val="solid"/>
            </a:ln>
          </c:spPr>
          <c:marker>
            <c:symbol val="square"/>
            <c:size val="5"/>
            <c:spPr>
              <a:solidFill>
                <a:srgbClr val="339966"/>
              </a:solidFill>
              <a:ln>
                <a:solidFill>
                  <a:srgbClr val="339966"/>
                </a:solidFill>
                <a:prstDash val="solid"/>
              </a:ln>
            </c:spPr>
          </c:marker>
          <c:xVal>
            <c:numRef>
              <c:f>'Uniformidade dados'!$H$2:$H$82</c:f>
              <c:numCache>
                <c:formatCode>#,##0.00</c:formatCode>
                <c:ptCount val="81"/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</c:numCache>
            </c:numRef>
          </c:xVal>
          <c:yVal>
            <c:numRef>
              <c:f>'Uniformidade dados'!$J$2:$J$82</c:f>
              <c:numCache>
                <c:formatCode>#,##0.00</c:formatCode>
                <c:ptCount val="81"/>
                <c:pt idx="1">
                  <c:v>6.563699999999999</c:v>
                </c:pt>
                <c:pt idx="2">
                  <c:v>6.563699999999999</c:v>
                </c:pt>
                <c:pt idx="3">
                  <c:v>6.563699999999999</c:v>
                </c:pt>
                <c:pt idx="4">
                  <c:v>6.563699999999999</c:v>
                </c:pt>
                <c:pt idx="5">
                  <c:v>6.563699999999999</c:v>
                </c:pt>
                <c:pt idx="6">
                  <c:v>6.563699999999999</c:v>
                </c:pt>
                <c:pt idx="7">
                  <c:v>6.563699999999999</c:v>
                </c:pt>
                <c:pt idx="8">
                  <c:v>6.563699999999999</c:v>
                </c:pt>
                <c:pt idx="9">
                  <c:v>6.563699999999999</c:v>
                </c:pt>
                <c:pt idx="10">
                  <c:v>6.563699999999999</c:v>
                </c:pt>
                <c:pt idx="11">
                  <c:v>6.563699999999999</c:v>
                </c:pt>
                <c:pt idx="12">
                  <c:v>6.563699999999999</c:v>
                </c:pt>
                <c:pt idx="13">
                  <c:v>6.563699999999999</c:v>
                </c:pt>
                <c:pt idx="14">
                  <c:v>6.563699999999999</c:v>
                </c:pt>
                <c:pt idx="15">
                  <c:v>6.563699999999999</c:v>
                </c:pt>
                <c:pt idx="16">
                  <c:v>6.563699999999999</c:v>
                </c:pt>
                <c:pt idx="17">
                  <c:v>6.563699999999999</c:v>
                </c:pt>
                <c:pt idx="18">
                  <c:v>6.563699999999999</c:v>
                </c:pt>
                <c:pt idx="19">
                  <c:v>6.563699999999999</c:v>
                </c:pt>
                <c:pt idx="20">
                  <c:v>6.563699999999999</c:v>
                </c:pt>
                <c:pt idx="21">
                  <c:v>6.563699999999999</c:v>
                </c:pt>
                <c:pt idx="22">
                  <c:v>6.563699999999999</c:v>
                </c:pt>
                <c:pt idx="23">
                  <c:v>6.563699999999999</c:v>
                </c:pt>
                <c:pt idx="24">
                  <c:v>6.563699999999999</c:v>
                </c:pt>
                <c:pt idx="25">
                  <c:v>6.563699999999999</c:v>
                </c:pt>
                <c:pt idx="26">
                  <c:v>6.563699999999999</c:v>
                </c:pt>
                <c:pt idx="27">
                  <c:v>6.563699999999999</c:v>
                </c:pt>
                <c:pt idx="28">
                  <c:v>6.563699999999999</c:v>
                </c:pt>
                <c:pt idx="29">
                  <c:v>6.563699999999999</c:v>
                </c:pt>
                <c:pt idx="30">
                  <c:v>6.563699999999999</c:v>
                </c:pt>
                <c:pt idx="31">
                  <c:v>6.563699999999999</c:v>
                </c:pt>
                <c:pt idx="32">
                  <c:v>6.563699999999999</c:v>
                </c:pt>
                <c:pt idx="33">
                  <c:v>6.563699999999999</c:v>
                </c:pt>
                <c:pt idx="34">
                  <c:v>6.563699999999999</c:v>
                </c:pt>
                <c:pt idx="35">
                  <c:v>6.563699999999999</c:v>
                </c:pt>
                <c:pt idx="36">
                  <c:v>6.563699999999999</c:v>
                </c:pt>
                <c:pt idx="37">
                  <c:v>6.563699999999999</c:v>
                </c:pt>
                <c:pt idx="38">
                  <c:v>6.563699999999999</c:v>
                </c:pt>
                <c:pt idx="39">
                  <c:v>6.563699999999999</c:v>
                </c:pt>
                <c:pt idx="40">
                  <c:v>6.563699999999999</c:v>
                </c:pt>
                <c:pt idx="41">
                  <c:v>6.563699999999999</c:v>
                </c:pt>
                <c:pt idx="42">
                  <c:v>6.563699999999999</c:v>
                </c:pt>
                <c:pt idx="43">
                  <c:v>6.563699999999999</c:v>
                </c:pt>
                <c:pt idx="44">
                  <c:v>6.563699999999999</c:v>
                </c:pt>
                <c:pt idx="45">
                  <c:v>6.563699999999999</c:v>
                </c:pt>
                <c:pt idx="46">
                  <c:v>6.563699999999999</c:v>
                </c:pt>
                <c:pt idx="47">
                  <c:v>6.563699999999999</c:v>
                </c:pt>
                <c:pt idx="48">
                  <c:v>6.563699999999999</c:v>
                </c:pt>
                <c:pt idx="49">
                  <c:v>6.563699999999999</c:v>
                </c:pt>
                <c:pt idx="50">
                  <c:v>6.563699999999999</c:v>
                </c:pt>
                <c:pt idx="51">
                  <c:v>6.563699999999999</c:v>
                </c:pt>
                <c:pt idx="52">
                  <c:v>6.563699999999999</c:v>
                </c:pt>
                <c:pt idx="53">
                  <c:v>6.563699999999999</c:v>
                </c:pt>
                <c:pt idx="54">
                  <c:v>6.563699999999999</c:v>
                </c:pt>
                <c:pt idx="55">
                  <c:v>6.563699999999999</c:v>
                </c:pt>
                <c:pt idx="56">
                  <c:v>6.563699999999999</c:v>
                </c:pt>
                <c:pt idx="57">
                  <c:v>6.563699999999999</c:v>
                </c:pt>
                <c:pt idx="58">
                  <c:v>6.563699999999999</c:v>
                </c:pt>
                <c:pt idx="59">
                  <c:v>6.563699999999999</c:v>
                </c:pt>
                <c:pt idx="60">
                  <c:v>6.563699999999999</c:v>
                </c:pt>
                <c:pt idx="61">
                  <c:v>6.563699999999999</c:v>
                </c:pt>
                <c:pt idx="62">
                  <c:v>6.563699999999999</c:v>
                </c:pt>
                <c:pt idx="63">
                  <c:v>6.563699999999999</c:v>
                </c:pt>
                <c:pt idx="64">
                  <c:v>6.563699999999999</c:v>
                </c:pt>
                <c:pt idx="65">
                  <c:v>6.563699999999999</c:v>
                </c:pt>
                <c:pt idx="66">
                  <c:v>6.563699999999999</c:v>
                </c:pt>
                <c:pt idx="67">
                  <c:v>6.563699999999999</c:v>
                </c:pt>
                <c:pt idx="68">
                  <c:v>6.563699999999999</c:v>
                </c:pt>
                <c:pt idx="69">
                  <c:v>6.563699999999999</c:v>
                </c:pt>
                <c:pt idx="70">
                  <c:v>6.563699999999999</c:v>
                </c:pt>
                <c:pt idx="71">
                  <c:v>6.563699999999999</c:v>
                </c:pt>
                <c:pt idx="72">
                  <c:v>6.563699999999999</c:v>
                </c:pt>
                <c:pt idx="73">
                  <c:v>6.563699999999999</c:v>
                </c:pt>
                <c:pt idx="74">
                  <c:v>6.563699999999999</c:v>
                </c:pt>
                <c:pt idx="75">
                  <c:v>6.563699999999999</c:v>
                </c:pt>
                <c:pt idx="76">
                  <c:v>6.563699999999999</c:v>
                </c:pt>
                <c:pt idx="77">
                  <c:v>6.563699999999999</c:v>
                </c:pt>
                <c:pt idx="78">
                  <c:v>6.563699999999999</c:v>
                </c:pt>
                <c:pt idx="79">
                  <c:v>6.563699999999999</c:v>
                </c:pt>
                <c:pt idx="80">
                  <c:v>6.563699999999999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970-4E81-84F4-6567466CBBB2}"/>
            </c:ext>
          </c:extLst>
        </c:ser>
        <c:ser>
          <c:idx val="2"/>
          <c:order val="2"/>
          <c:tx>
            <c:strRef>
              <c:f>'Uniformidade dados'!$K$1</c:f>
              <c:strCache>
                <c:ptCount val="1"/>
                <c:pt idx="0">
                  <c:v>Lâmina (mm)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triangle"/>
            <c:size val="5"/>
            <c:spPr>
              <a:solidFill>
                <a:srgbClr val="FF0000"/>
              </a:solidFill>
              <a:ln>
                <a:solidFill>
                  <a:srgbClr val="FF0000"/>
                </a:solidFill>
                <a:prstDash val="solid"/>
              </a:ln>
            </c:spPr>
          </c:marker>
          <c:xVal>
            <c:numRef>
              <c:f>'Uniformidade dados'!$H$2:$H$82</c:f>
              <c:numCache>
                <c:formatCode>#,##0.00</c:formatCode>
                <c:ptCount val="81"/>
                <c:pt idx="1">
                  <c:v>5</c:v>
                </c:pt>
                <c:pt idx="2">
                  <c:v>10</c:v>
                </c:pt>
                <c:pt idx="3">
                  <c:v>15</c:v>
                </c:pt>
                <c:pt idx="4">
                  <c:v>20</c:v>
                </c:pt>
                <c:pt idx="5">
                  <c:v>25</c:v>
                </c:pt>
                <c:pt idx="6">
                  <c:v>30</c:v>
                </c:pt>
                <c:pt idx="7">
                  <c:v>35</c:v>
                </c:pt>
                <c:pt idx="8">
                  <c:v>40</c:v>
                </c:pt>
                <c:pt idx="9">
                  <c:v>45</c:v>
                </c:pt>
                <c:pt idx="10">
                  <c:v>50</c:v>
                </c:pt>
                <c:pt idx="11">
                  <c:v>55</c:v>
                </c:pt>
                <c:pt idx="12">
                  <c:v>60</c:v>
                </c:pt>
                <c:pt idx="13">
                  <c:v>65</c:v>
                </c:pt>
                <c:pt idx="14">
                  <c:v>70</c:v>
                </c:pt>
                <c:pt idx="15">
                  <c:v>75</c:v>
                </c:pt>
                <c:pt idx="16">
                  <c:v>80</c:v>
                </c:pt>
                <c:pt idx="17">
                  <c:v>85</c:v>
                </c:pt>
                <c:pt idx="18">
                  <c:v>90</c:v>
                </c:pt>
                <c:pt idx="19">
                  <c:v>95</c:v>
                </c:pt>
                <c:pt idx="20">
                  <c:v>100</c:v>
                </c:pt>
                <c:pt idx="21">
                  <c:v>105</c:v>
                </c:pt>
                <c:pt idx="22">
                  <c:v>110</c:v>
                </c:pt>
                <c:pt idx="23">
                  <c:v>115</c:v>
                </c:pt>
                <c:pt idx="24">
                  <c:v>120</c:v>
                </c:pt>
                <c:pt idx="25">
                  <c:v>125</c:v>
                </c:pt>
                <c:pt idx="26">
                  <c:v>130</c:v>
                </c:pt>
                <c:pt idx="27">
                  <c:v>135</c:v>
                </c:pt>
                <c:pt idx="28">
                  <c:v>140</c:v>
                </c:pt>
                <c:pt idx="29">
                  <c:v>145</c:v>
                </c:pt>
                <c:pt idx="30">
                  <c:v>150</c:v>
                </c:pt>
                <c:pt idx="31">
                  <c:v>155</c:v>
                </c:pt>
                <c:pt idx="32">
                  <c:v>160</c:v>
                </c:pt>
                <c:pt idx="33">
                  <c:v>165</c:v>
                </c:pt>
                <c:pt idx="34">
                  <c:v>170</c:v>
                </c:pt>
                <c:pt idx="35">
                  <c:v>175</c:v>
                </c:pt>
                <c:pt idx="36">
                  <c:v>180</c:v>
                </c:pt>
                <c:pt idx="37">
                  <c:v>185</c:v>
                </c:pt>
                <c:pt idx="38">
                  <c:v>190</c:v>
                </c:pt>
                <c:pt idx="39">
                  <c:v>195</c:v>
                </c:pt>
                <c:pt idx="40">
                  <c:v>200</c:v>
                </c:pt>
                <c:pt idx="41">
                  <c:v>205</c:v>
                </c:pt>
                <c:pt idx="42">
                  <c:v>210</c:v>
                </c:pt>
                <c:pt idx="43">
                  <c:v>215</c:v>
                </c:pt>
                <c:pt idx="44">
                  <c:v>220</c:v>
                </c:pt>
                <c:pt idx="45">
                  <c:v>225</c:v>
                </c:pt>
                <c:pt idx="46">
                  <c:v>230</c:v>
                </c:pt>
                <c:pt idx="47">
                  <c:v>235</c:v>
                </c:pt>
                <c:pt idx="48">
                  <c:v>240</c:v>
                </c:pt>
                <c:pt idx="49">
                  <c:v>245</c:v>
                </c:pt>
                <c:pt idx="50">
                  <c:v>250</c:v>
                </c:pt>
                <c:pt idx="51">
                  <c:v>255</c:v>
                </c:pt>
                <c:pt idx="52">
                  <c:v>260</c:v>
                </c:pt>
                <c:pt idx="53">
                  <c:v>265</c:v>
                </c:pt>
                <c:pt idx="54">
                  <c:v>270</c:v>
                </c:pt>
                <c:pt idx="55">
                  <c:v>275</c:v>
                </c:pt>
                <c:pt idx="56">
                  <c:v>280</c:v>
                </c:pt>
                <c:pt idx="57">
                  <c:v>285</c:v>
                </c:pt>
                <c:pt idx="58">
                  <c:v>290</c:v>
                </c:pt>
                <c:pt idx="59">
                  <c:v>295</c:v>
                </c:pt>
                <c:pt idx="60">
                  <c:v>300</c:v>
                </c:pt>
                <c:pt idx="61">
                  <c:v>305</c:v>
                </c:pt>
                <c:pt idx="62">
                  <c:v>310</c:v>
                </c:pt>
                <c:pt idx="63">
                  <c:v>315</c:v>
                </c:pt>
                <c:pt idx="64">
                  <c:v>320</c:v>
                </c:pt>
                <c:pt idx="65">
                  <c:v>325</c:v>
                </c:pt>
                <c:pt idx="66">
                  <c:v>330</c:v>
                </c:pt>
                <c:pt idx="67">
                  <c:v>335</c:v>
                </c:pt>
                <c:pt idx="68">
                  <c:v>340</c:v>
                </c:pt>
                <c:pt idx="69">
                  <c:v>345</c:v>
                </c:pt>
                <c:pt idx="70">
                  <c:v>350</c:v>
                </c:pt>
                <c:pt idx="71">
                  <c:v>355</c:v>
                </c:pt>
                <c:pt idx="72">
                  <c:v>360</c:v>
                </c:pt>
                <c:pt idx="73">
                  <c:v>365</c:v>
                </c:pt>
                <c:pt idx="74">
                  <c:v>370</c:v>
                </c:pt>
                <c:pt idx="75">
                  <c:v>375</c:v>
                </c:pt>
                <c:pt idx="76">
                  <c:v>380</c:v>
                </c:pt>
                <c:pt idx="77">
                  <c:v>385</c:v>
                </c:pt>
                <c:pt idx="78">
                  <c:v>390</c:v>
                </c:pt>
                <c:pt idx="79">
                  <c:v>395</c:v>
                </c:pt>
                <c:pt idx="80">
                  <c:v>400</c:v>
                </c:pt>
              </c:numCache>
            </c:numRef>
          </c:xVal>
          <c:yVal>
            <c:numRef>
              <c:f>'Uniformidade dados'!$K$2:$K$82</c:f>
              <c:numCache>
                <c:formatCode>#,##0.00</c:formatCode>
                <c:ptCount val="81"/>
                <c:pt idx="1">
                  <c:v>0</c:v>
                </c:pt>
                <c:pt idx="2">
                  <c:v>3.1830914183855357</c:v>
                </c:pt>
                <c:pt idx="3">
                  <c:v>6.207028265851795</c:v>
                </c:pt>
                <c:pt idx="4">
                  <c:v>5.4112554112554108</c:v>
                </c:pt>
                <c:pt idx="5">
                  <c:v>5.2521008403361336</c:v>
                </c:pt>
                <c:pt idx="6">
                  <c:v>5.7295645530939643</c:v>
                </c:pt>
                <c:pt idx="7">
                  <c:v>4.7746371275783037</c:v>
                </c:pt>
                <c:pt idx="8">
                  <c:v>4.4563279857397502</c:v>
                </c:pt>
                <c:pt idx="9">
                  <c:v>6.207028265851795</c:v>
                </c:pt>
                <c:pt idx="10">
                  <c:v>5.0929462694168572</c:v>
                </c:pt>
                <c:pt idx="11">
                  <c:v>4.7746371275783037</c:v>
                </c:pt>
                <c:pt idx="12">
                  <c:v>5.0929462694168572</c:v>
                </c:pt>
                <c:pt idx="13">
                  <c:v>5.0929462694168572</c:v>
                </c:pt>
                <c:pt idx="14">
                  <c:v>4.7746371275783037</c:v>
                </c:pt>
                <c:pt idx="15">
                  <c:v>4.4563279857397502</c:v>
                </c:pt>
                <c:pt idx="16">
                  <c:v>7.3211102622867319</c:v>
                </c:pt>
                <c:pt idx="17">
                  <c:v>7.4802648332060091</c:v>
                </c:pt>
                <c:pt idx="18">
                  <c:v>4.7746371275783037</c:v>
                </c:pt>
                <c:pt idx="19">
                  <c:v>5.4112554112554108</c:v>
                </c:pt>
                <c:pt idx="20">
                  <c:v>5.7295645530939643</c:v>
                </c:pt>
                <c:pt idx="21">
                  <c:v>5.7295645530939643</c:v>
                </c:pt>
                <c:pt idx="22">
                  <c:v>6.3661828367710713</c:v>
                </c:pt>
                <c:pt idx="23">
                  <c:v>6.207028265851795</c:v>
                </c:pt>
                <c:pt idx="24">
                  <c:v>6.3661828367710713</c:v>
                </c:pt>
                <c:pt idx="25">
                  <c:v>6.207028265851795</c:v>
                </c:pt>
                <c:pt idx="26">
                  <c:v>5.2521008403361336</c:v>
                </c:pt>
                <c:pt idx="27">
                  <c:v>8.1168831168831161</c:v>
                </c:pt>
                <c:pt idx="28">
                  <c:v>5.7295645530939643</c:v>
                </c:pt>
                <c:pt idx="29">
                  <c:v>12.891520244461422</c:v>
                </c:pt>
                <c:pt idx="30">
                  <c:v>5.0929462694168572</c:v>
                </c:pt>
                <c:pt idx="31">
                  <c:v>6.207028265851795</c:v>
                </c:pt>
                <c:pt idx="32">
                  <c:v>7.1619556913674556</c:v>
                </c:pt>
                <c:pt idx="33">
                  <c:v>6.0478736949325187</c:v>
                </c:pt>
                <c:pt idx="34">
                  <c:v>9.0718105423987776</c:v>
                </c:pt>
                <c:pt idx="35">
                  <c:v>5.4112554112554108</c:v>
                </c:pt>
                <c:pt idx="36">
                  <c:v>5.8887191240132406</c:v>
                </c:pt>
                <c:pt idx="37">
                  <c:v>9.0718105423987776</c:v>
                </c:pt>
                <c:pt idx="38">
                  <c:v>7.4802648332060091</c:v>
                </c:pt>
                <c:pt idx="39">
                  <c:v>3.8197097020626432</c:v>
                </c:pt>
                <c:pt idx="40">
                  <c:v>6.3661828367710713</c:v>
                </c:pt>
                <c:pt idx="41">
                  <c:v>4.9337916984975809</c:v>
                </c:pt>
                <c:pt idx="42">
                  <c:v>5.7295645530939643</c:v>
                </c:pt>
                <c:pt idx="43">
                  <c:v>8.594346829640946</c:v>
                </c:pt>
                <c:pt idx="44">
                  <c:v>4.4563279857397502</c:v>
                </c:pt>
                <c:pt idx="45">
                  <c:v>5.570409982174688</c:v>
                </c:pt>
                <c:pt idx="46">
                  <c:v>7.6394194041252863</c:v>
                </c:pt>
                <c:pt idx="47">
                  <c:v>4.7746371275783037</c:v>
                </c:pt>
                <c:pt idx="48">
                  <c:v>5.0929462694168572</c:v>
                </c:pt>
                <c:pt idx="49">
                  <c:v>13.209829386299974</c:v>
                </c:pt>
                <c:pt idx="50">
                  <c:v>6.3661828367710713</c:v>
                </c:pt>
                <c:pt idx="51">
                  <c:v>5.570409982174688</c:v>
                </c:pt>
                <c:pt idx="52">
                  <c:v>4.9337916984975809</c:v>
                </c:pt>
                <c:pt idx="53">
                  <c:v>6.3661828367710713</c:v>
                </c:pt>
                <c:pt idx="54">
                  <c:v>6.5253374076903476</c:v>
                </c:pt>
                <c:pt idx="55">
                  <c:v>6.8436465495289021</c:v>
                </c:pt>
                <c:pt idx="56">
                  <c:v>6.6844919786096249</c:v>
                </c:pt>
                <c:pt idx="57">
                  <c:v>10.026737967914439</c:v>
                </c:pt>
                <c:pt idx="58">
                  <c:v>5.0929462694168572</c:v>
                </c:pt>
                <c:pt idx="59">
                  <c:v>3.8197097020626432</c:v>
                </c:pt>
                <c:pt idx="60">
                  <c:v>5.4112554112554108</c:v>
                </c:pt>
                <c:pt idx="61">
                  <c:v>7.9577285459638389</c:v>
                </c:pt>
                <c:pt idx="62">
                  <c:v>5.570409982174688</c:v>
                </c:pt>
                <c:pt idx="63">
                  <c:v>7.1619556913674556</c:v>
                </c:pt>
                <c:pt idx="64">
                  <c:v>6.0478736949325187</c:v>
                </c:pt>
                <c:pt idx="65">
                  <c:v>6.0478736949325187</c:v>
                </c:pt>
                <c:pt idx="66">
                  <c:v>6.0478736949325187</c:v>
                </c:pt>
                <c:pt idx="67">
                  <c:v>6.207028265851795</c:v>
                </c:pt>
                <c:pt idx="68">
                  <c:v>5.2521008403361336</c:v>
                </c:pt>
                <c:pt idx="69">
                  <c:v>5.570409982174688</c:v>
                </c:pt>
                <c:pt idx="70">
                  <c:v>6.0478736949325187</c:v>
                </c:pt>
                <c:pt idx="71">
                  <c:v>4.6154825566590265</c:v>
                </c:pt>
                <c:pt idx="72">
                  <c:v>7.0028011204481793</c:v>
                </c:pt>
                <c:pt idx="73">
                  <c:v>4.6154825566590265</c:v>
                </c:pt>
                <c:pt idx="74">
                  <c:v>5.4112554112554108</c:v>
                </c:pt>
                <c:pt idx="75">
                  <c:v>5.2521008403361336</c:v>
                </c:pt>
                <c:pt idx="76">
                  <c:v>5.4112554112554108</c:v>
                </c:pt>
                <c:pt idx="77">
                  <c:v>4.7746371275783037</c:v>
                </c:pt>
                <c:pt idx="78">
                  <c:v>0.63661828367710716</c:v>
                </c:pt>
                <c:pt idx="79">
                  <c:v>1.2732365673542143</c:v>
                </c:pt>
                <c:pt idx="80">
                  <c:v>3.1830914183855357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B970-4E81-84F4-6567466CBB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881775"/>
        <c:axId val="1"/>
      </c:scatterChart>
      <c:valAx>
        <c:axId val="1046881775"/>
        <c:scaling>
          <c:orientation val="minMax"/>
          <c:max val="410"/>
          <c:min val="0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Distância entre coletores (m)</a:t>
                </a:r>
              </a:p>
            </c:rich>
          </c:tx>
          <c:layout>
            <c:manualLayout>
              <c:xMode val="edge"/>
              <c:yMode val="edge"/>
              <c:x val="0.37916669402980174"/>
              <c:y val="0.8944621195999149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25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crossBetween val="midCat"/>
        <c:majorUnit val="20"/>
      </c:valAx>
      <c:valAx>
        <c:axId val="1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Lâminas (mm)</a:t>
                </a:r>
              </a:p>
            </c:rich>
          </c:tx>
          <c:layout>
            <c:manualLayout>
              <c:xMode val="edge"/>
              <c:yMode val="edge"/>
              <c:x val="0"/>
              <c:y val="0.38215489111158402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/>
            </a:pPr>
            <a:endParaRPr lang="pt-BR"/>
          </a:p>
        </c:txPr>
        <c:crossAx val="1046881775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15776292141964324"/>
          <c:y val="0.94986451017947082"/>
          <c:w val="0.84474124324951461"/>
          <c:h val="0.99593495069873028"/>
        </c:manualLayout>
      </c:layout>
      <c:overlay val="0"/>
      <c:spPr>
        <a:solidFill>
          <a:srgbClr val="FFFFFF"/>
        </a:solidFill>
        <a:ln w="25400">
          <a:noFill/>
        </a:ln>
      </c:spPr>
    </c:legend>
    <c:plotVisOnly val="1"/>
    <c:dispBlanksAs val="gap"/>
    <c:showDLblsOverMax val="0"/>
  </c:chart>
  <c:spPr>
    <a:noFill/>
    <a:ln w="9525">
      <a:noFill/>
    </a:ln>
  </c:spPr>
  <c:txPr>
    <a:bodyPr/>
    <a:lstStyle/>
    <a:p>
      <a:pPr>
        <a:defRPr sz="1325" b="1" i="0" u="none" strike="noStrike" baseline="0">
          <a:solidFill>
            <a:srgbClr val="000000"/>
          </a:solidFill>
          <a:latin typeface="+mn-lt"/>
          <a:ea typeface="Arial"/>
          <a:cs typeface="Times New Roman" panose="02020603050405020304" pitchFamily="18" charset="0"/>
        </a:defRPr>
      </a:pPr>
      <a:endParaRPr lang="pt-BR"/>
    </a:p>
  </c:txPr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735243708687474E-2"/>
          <c:y val="2.4770605390658857E-2"/>
          <c:w val="0.8435550721438978"/>
          <c:h val="0.82015009773817826"/>
        </c:manualLayout>
      </c:layout>
      <c:scatterChart>
        <c:scatterStyle val="smoothMarker"/>
        <c:varyColors val="0"/>
        <c:ser>
          <c:idx val="2"/>
          <c:order val="2"/>
          <c:tx>
            <c:strRef>
              <c:f>'Hidro dados'!$G$1</c:f>
              <c:strCache>
                <c:ptCount val="1"/>
                <c:pt idx="0">
                  <c:v>D do bocal (mm)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dLbls>
            <c:dLbl>
              <c:idx val="0"/>
              <c:spPr>
                <a:noFill/>
                <a:ln w="25400">
                  <a:noFill/>
                </a:ln>
              </c:spPr>
              <c:txPr>
                <a:bodyPr rot="0" vert="horz"/>
                <a:lstStyle/>
                <a:p>
                  <a:pPr>
                    <a:defRPr/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ECA-48A5-9651-568CA05A8C2B}"/>
                </c:ext>
              </c:extLst>
            </c:dLbl>
            <c:dLbl>
              <c:idx val="15"/>
              <c:spPr>
                <a:noFill/>
                <a:ln w="25400">
                  <a:noFill/>
                </a:ln>
              </c:spPr>
              <c:txPr>
                <a:bodyPr rot="0" vert="horz"/>
                <a:lstStyle/>
                <a:p>
                  <a:pPr>
                    <a:defRPr/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ECA-48A5-9651-568CA05A8C2B}"/>
                </c:ext>
              </c:extLst>
            </c:dLbl>
            <c:dLbl>
              <c:idx val="17"/>
              <c:layout>
                <c:manualLayout>
                  <c:x val="-4.6085753924054201E-2"/>
                  <c:y val="2.1127387332384465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0" vert="horz"/>
                <a:lstStyle/>
                <a:p>
                  <a:pPr>
                    <a:defRPr/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EECA-48A5-9651-568CA05A8C2B}"/>
                </c:ext>
              </c:extLst>
            </c:dLbl>
            <c:dLbl>
              <c:idx val="80"/>
              <c:spPr>
                <a:noFill/>
                <a:ln w="25400">
                  <a:noFill/>
                </a:ln>
              </c:spPr>
              <c:txPr>
                <a:bodyPr rot="0" vert="horz"/>
                <a:lstStyle/>
                <a:p>
                  <a:pPr>
                    <a:defRPr/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ECA-48A5-9651-568CA05A8C2B}"/>
                </c:ext>
              </c:extLst>
            </c:dLbl>
            <c:dLbl>
              <c:idx val="81"/>
              <c:layout>
                <c:manualLayout>
                  <c:x val="-4.4769018097652651E-2"/>
                  <c:y val="8.4509549329538167E-3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0" vert="horz"/>
                <a:lstStyle/>
                <a:p>
                  <a:pPr>
                    <a:defRPr/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ECA-48A5-9651-568CA05A8C2B}"/>
                </c:ext>
              </c:extLst>
            </c:dLbl>
            <c:dLbl>
              <c:idx val="143"/>
              <c:spPr>
                <a:noFill/>
                <a:ln w="25400">
                  <a:noFill/>
                </a:ln>
              </c:spPr>
              <c:txPr>
                <a:bodyPr rot="0" vert="horz"/>
                <a:lstStyle/>
                <a:p>
                  <a:pPr>
                    <a:defRPr/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ECA-48A5-9651-568CA05A8C2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'Hidro dados'!$A$2:$A$146</c:f>
              <c:numCache>
                <c:formatCode>#,##0</c:formatCode>
                <c:ptCount val="1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</c:numCache>
            </c:numRef>
          </c:xVal>
          <c:yVal>
            <c:numRef>
              <c:f>'Hidro dados'!$G$2:$G$146</c:f>
              <c:numCache>
                <c:formatCode>#,##0.0</c:formatCode>
                <c:ptCount val="145"/>
                <c:pt idx="0">
                  <c:v>7</c:v>
                </c:pt>
                <c:pt idx="1">
                  <c:v>8.5</c:v>
                </c:pt>
                <c:pt idx="2">
                  <c:v>10</c:v>
                </c:pt>
                <c:pt idx="3">
                  <c:v>11</c:v>
                </c:pt>
                <c:pt idx="4">
                  <c:v>12.5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17.5</c:v>
                </c:pt>
                <c:pt idx="11">
                  <c:v>18.5</c:v>
                </c:pt>
                <c:pt idx="12">
                  <c:v>19</c:v>
                </c:pt>
                <c:pt idx="13">
                  <c:v>20</c:v>
                </c:pt>
                <c:pt idx="14">
                  <c:v>20.5</c:v>
                </c:pt>
                <c:pt idx="15">
                  <c:v>21</c:v>
                </c:pt>
                <c:pt idx="16">
                  <c:v>19</c:v>
                </c:pt>
                <c:pt idx="17">
                  <c:v>15.5</c:v>
                </c:pt>
                <c:pt idx="18">
                  <c:v>15.5</c:v>
                </c:pt>
                <c:pt idx="19">
                  <c:v>16</c:v>
                </c:pt>
                <c:pt idx="20">
                  <c:v>16</c:v>
                </c:pt>
                <c:pt idx="21">
                  <c:v>16.5</c:v>
                </c:pt>
                <c:pt idx="22">
                  <c:v>16.5</c:v>
                </c:pt>
                <c:pt idx="23">
                  <c:v>16.5</c:v>
                </c:pt>
                <c:pt idx="24">
                  <c:v>17</c:v>
                </c:pt>
                <c:pt idx="25">
                  <c:v>17</c:v>
                </c:pt>
                <c:pt idx="26">
                  <c:v>17.5</c:v>
                </c:pt>
                <c:pt idx="27">
                  <c:v>17.5</c:v>
                </c:pt>
                <c:pt idx="28">
                  <c:v>17.5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18.5</c:v>
                </c:pt>
                <c:pt idx="33">
                  <c:v>18.5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19.5</c:v>
                </c:pt>
                <c:pt idx="38">
                  <c:v>19.5</c:v>
                </c:pt>
                <c:pt idx="39">
                  <c:v>19.5</c:v>
                </c:pt>
                <c:pt idx="40">
                  <c:v>20</c:v>
                </c:pt>
                <c:pt idx="41">
                  <c:v>20</c:v>
                </c:pt>
                <c:pt idx="42">
                  <c:v>20.5</c:v>
                </c:pt>
                <c:pt idx="43">
                  <c:v>20.5</c:v>
                </c:pt>
                <c:pt idx="44">
                  <c:v>20.5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21.5</c:v>
                </c:pt>
                <c:pt idx="49">
                  <c:v>21.5</c:v>
                </c:pt>
                <c:pt idx="50">
                  <c:v>21.5</c:v>
                </c:pt>
                <c:pt idx="51">
                  <c:v>22</c:v>
                </c:pt>
                <c:pt idx="52">
                  <c:v>22.5</c:v>
                </c:pt>
                <c:pt idx="53">
                  <c:v>22.5</c:v>
                </c:pt>
                <c:pt idx="54">
                  <c:v>22.5</c:v>
                </c:pt>
                <c:pt idx="55">
                  <c:v>22.5</c:v>
                </c:pt>
                <c:pt idx="56">
                  <c:v>22.5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 formatCode="0.0">
                  <c:v>23.5</c:v>
                </c:pt>
                <c:pt idx="61" formatCode="0.0">
                  <c:v>23.5</c:v>
                </c:pt>
                <c:pt idx="62" formatCode="0.0">
                  <c:v>23.5</c:v>
                </c:pt>
                <c:pt idx="63" formatCode="0.0">
                  <c:v>24</c:v>
                </c:pt>
                <c:pt idx="64" formatCode="0.0">
                  <c:v>24</c:v>
                </c:pt>
                <c:pt idx="65" formatCode="0.0">
                  <c:v>24</c:v>
                </c:pt>
                <c:pt idx="66" formatCode="0.0">
                  <c:v>24.5</c:v>
                </c:pt>
                <c:pt idx="67" formatCode="0.0">
                  <c:v>24.5</c:v>
                </c:pt>
                <c:pt idx="68" formatCode="0.0">
                  <c:v>25</c:v>
                </c:pt>
                <c:pt idx="69" formatCode="0.0">
                  <c:v>25</c:v>
                </c:pt>
                <c:pt idx="70" formatCode="0.0">
                  <c:v>25.5</c:v>
                </c:pt>
                <c:pt idx="71" formatCode="0.0">
                  <c:v>25.5</c:v>
                </c:pt>
                <c:pt idx="72" formatCode="0.0">
                  <c:v>25.5</c:v>
                </c:pt>
                <c:pt idx="73" formatCode="0.0">
                  <c:v>25.5</c:v>
                </c:pt>
                <c:pt idx="74" formatCode="0.0">
                  <c:v>26</c:v>
                </c:pt>
                <c:pt idx="75" formatCode="0.0">
                  <c:v>26</c:v>
                </c:pt>
                <c:pt idx="76" formatCode="0.0">
                  <c:v>26</c:v>
                </c:pt>
                <c:pt idx="77" formatCode="0.0">
                  <c:v>26</c:v>
                </c:pt>
                <c:pt idx="78" formatCode="0.0">
                  <c:v>26</c:v>
                </c:pt>
                <c:pt idx="79" formatCode="0.0">
                  <c:v>26</c:v>
                </c:pt>
                <c:pt idx="80" formatCode="0.0">
                  <c:v>26</c:v>
                </c:pt>
                <c:pt idx="81" formatCode="0.0">
                  <c:v>18.5</c:v>
                </c:pt>
                <c:pt idx="82" formatCode="0.0">
                  <c:v>18.5</c:v>
                </c:pt>
                <c:pt idx="83" formatCode="0.0">
                  <c:v>18.5</c:v>
                </c:pt>
                <c:pt idx="84" formatCode="0.0">
                  <c:v>18.5</c:v>
                </c:pt>
                <c:pt idx="85" formatCode="0.0">
                  <c:v>18.5</c:v>
                </c:pt>
                <c:pt idx="86" formatCode="0.0">
                  <c:v>18.5</c:v>
                </c:pt>
                <c:pt idx="87" formatCode="0.0">
                  <c:v>18.5</c:v>
                </c:pt>
                <c:pt idx="88" formatCode="0.0">
                  <c:v>19</c:v>
                </c:pt>
                <c:pt idx="89" formatCode="0.0">
                  <c:v>19</c:v>
                </c:pt>
                <c:pt idx="90" formatCode="0.0">
                  <c:v>19</c:v>
                </c:pt>
                <c:pt idx="91" formatCode="0.0">
                  <c:v>19</c:v>
                </c:pt>
                <c:pt idx="92" formatCode="0.0">
                  <c:v>19</c:v>
                </c:pt>
                <c:pt idx="93" formatCode="0.0">
                  <c:v>19</c:v>
                </c:pt>
                <c:pt idx="94" formatCode="0.0">
                  <c:v>19</c:v>
                </c:pt>
                <c:pt idx="95" formatCode="0.0">
                  <c:v>19</c:v>
                </c:pt>
                <c:pt idx="96" formatCode="0.0">
                  <c:v>19.5</c:v>
                </c:pt>
                <c:pt idx="97" formatCode="0.0">
                  <c:v>19.5</c:v>
                </c:pt>
                <c:pt idx="98" formatCode="0.0">
                  <c:v>19</c:v>
                </c:pt>
                <c:pt idx="99" formatCode="0.0">
                  <c:v>19</c:v>
                </c:pt>
                <c:pt idx="100" formatCode="0.0">
                  <c:v>19.5</c:v>
                </c:pt>
                <c:pt idx="101" formatCode="0.0">
                  <c:v>19.5</c:v>
                </c:pt>
                <c:pt idx="102" formatCode="0.0">
                  <c:v>19.5</c:v>
                </c:pt>
                <c:pt idx="103" formatCode="0.0">
                  <c:v>19.5</c:v>
                </c:pt>
                <c:pt idx="104" formatCode="0.0">
                  <c:v>19.5</c:v>
                </c:pt>
                <c:pt idx="105" formatCode="0.0">
                  <c:v>19.5</c:v>
                </c:pt>
                <c:pt idx="106" formatCode="0.0">
                  <c:v>19.5</c:v>
                </c:pt>
                <c:pt idx="107" formatCode="0.0">
                  <c:v>19.5</c:v>
                </c:pt>
                <c:pt idx="108" formatCode="0.0">
                  <c:v>19.5</c:v>
                </c:pt>
                <c:pt idx="109" formatCode="0.0">
                  <c:v>19.5</c:v>
                </c:pt>
                <c:pt idx="110" formatCode="0.0">
                  <c:v>20</c:v>
                </c:pt>
                <c:pt idx="111" formatCode="0.0">
                  <c:v>20</c:v>
                </c:pt>
                <c:pt idx="112" formatCode="0.0">
                  <c:v>20</c:v>
                </c:pt>
                <c:pt idx="113" formatCode="0.0">
                  <c:v>20</c:v>
                </c:pt>
                <c:pt idx="114" formatCode="0.0">
                  <c:v>20</c:v>
                </c:pt>
                <c:pt idx="115" formatCode="0.0">
                  <c:v>20</c:v>
                </c:pt>
                <c:pt idx="116" formatCode="0.0">
                  <c:v>20</c:v>
                </c:pt>
                <c:pt idx="117" formatCode="0.0">
                  <c:v>20</c:v>
                </c:pt>
                <c:pt idx="118" formatCode="0.0">
                  <c:v>20</c:v>
                </c:pt>
                <c:pt idx="119" formatCode="0.0">
                  <c:v>20</c:v>
                </c:pt>
                <c:pt idx="120" formatCode="0.0">
                  <c:v>20</c:v>
                </c:pt>
                <c:pt idx="121" formatCode="0.0">
                  <c:v>20</c:v>
                </c:pt>
                <c:pt idx="122" formatCode="0.0">
                  <c:v>20.5</c:v>
                </c:pt>
                <c:pt idx="123" formatCode="0.0">
                  <c:v>20.5</c:v>
                </c:pt>
                <c:pt idx="124" formatCode="0.0">
                  <c:v>20.5</c:v>
                </c:pt>
                <c:pt idx="125" formatCode="0.0">
                  <c:v>20.5</c:v>
                </c:pt>
                <c:pt idx="126" formatCode="0.0">
                  <c:v>20.5</c:v>
                </c:pt>
                <c:pt idx="127" formatCode="0.0">
                  <c:v>20.5</c:v>
                </c:pt>
                <c:pt idx="128" formatCode="0.0">
                  <c:v>20.5</c:v>
                </c:pt>
                <c:pt idx="129" formatCode="0.0">
                  <c:v>20.5</c:v>
                </c:pt>
                <c:pt idx="130" formatCode="0.0">
                  <c:v>21</c:v>
                </c:pt>
                <c:pt idx="131" formatCode="0.0">
                  <c:v>21</c:v>
                </c:pt>
                <c:pt idx="132" formatCode="0.0">
                  <c:v>21</c:v>
                </c:pt>
                <c:pt idx="133" formatCode="0.0">
                  <c:v>21</c:v>
                </c:pt>
                <c:pt idx="134" formatCode="0.0">
                  <c:v>21</c:v>
                </c:pt>
                <c:pt idx="135" formatCode="0.0">
                  <c:v>21</c:v>
                </c:pt>
                <c:pt idx="136" formatCode="0.0">
                  <c:v>21</c:v>
                </c:pt>
                <c:pt idx="137" formatCode="0.0">
                  <c:v>21</c:v>
                </c:pt>
                <c:pt idx="138" formatCode="0.0">
                  <c:v>21</c:v>
                </c:pt>
                <c:pt idx="139" formatCode="0.0">
                  <c:v>21</c:v>
                </c:pt>
                <c:pt idx="140" formatCode="0.0">
                  <c:v>21</c:v>
                </c:pt>
                <c:pt idx="141" formatCode="0.0">
                  <c:v>21</c:v>
                </c:pt>
                <c:pt idx="142" formatCode="0.0">
                  <c:v>21</c:v>
                </c:pt>
                <c:pt idx="143" formatCode="0.0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6-EECA-48A5-9651-568CA05A8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890415"/>
        <c:axId val="1"/>
      </c:scatterChart>
      <c:scatterChart>
        <c:scatterStyle val="smoothMarker"/>
        <c:varyColors val="0"/>
        <c:ser>
          <c:idx val="0"/>
          <c:order val="0"/>
          <c:tx>
            <c:strRef>
              <c:f>'Hidro dados'!$D$1</c:f>
              <c:strCache>
                <c:ptCount val="1"/>
                <c:pt idx="0">
                  <c:v>Vazão lida (m3/h)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dLbl>
              <c:idx val="143"/>
              <c:spPr>
                <a:noFill/>
                <a:ln w="25400">
                  <a:noFill/>
                </a:ln>
              </c:spPr>
              <c:txPr>
                <a:bodyPr rot="0" vert="horz"/>
                <a:lstStyle/>
                <a:p>
                  <a:pPr>
                    <a:defRPr/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ECA-48A5-9651-568CA05A8C2B}"/>
                </c:ext>
              </c:extLst>
            </c:dLbl>
            <c:dLbl>
              <c:idx val="144"/>
              <c:layout>
                <c:manualLayout>
                  <c:x val="-3.9502074792046463E-3"/>
                  <c:y val="4.859299086448436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0" vert="horz"/>
                <a:lstStyle/>
                <a:p>
                  <a:pPr>
                    <a:defRPr/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EECA-48A5-9651-568CA05A8C2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'Hidro dados'!$A$2:$A$146</c:f>
              <c:numCache>
                <c:formatCode>#,##0</c:formatCode>
                <c:ptCount val="1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</c:numCache>
            </c:numRef>
          </c:xVal>
          <c:yVal>
            <c:numRef>
              <c:f>'Hidro dados'!$D$2:$D$146</c:f>
              <c:numCache>
                <c:formatCode>0.00</c:formatCode>
                <c:ptCount val="145"/>
                <c:pt idx="0">
                  <c:v>0.35328753680078506</c:v>
                </c:pt>
                <c:pt idx="1">
                  <c:v>0.51973051010587101</c:v>
                </c:pt>
                <c:pt idx="2">
                  <c:v>0.67522211253701869</c:v>
                </c:pt>
                <c:pt idx="3">
                  <c:v>0.80232558139534882</c:v>
                </c:pt>
                <c:pt idx="4">
                  <c:v>0.92441860465116288</c:v>
                </c:pt>
                <c:pt idx="5">
                  <c:v>1.1337209302325582</c:v>
                </c:pt>
                <c:pt idx="6">
                  <c:v>1.0701754385964912</c:v>
                </c:pt>
                <c:pt idx="7">
                  <c:v>1.4282982791587</c:v>
                </c:pt>
                <c:pt idx="8">
                  <c:v>1.7224880382775123</c:v>
                </c:pt>
                <c:pt idx="9">
                  <c:v>1.6858536585365853</c:v>
                </c:pt>
                <c:pt idx="10">
                  <c:v>1.3591481122942886</c:v>
                </c:pt>
                <c:pt idx="11">
                  <c:v>2.1998060135790491</c:v>
                </c:pt>
                <c:pt idx="12">
                  <c:v>2.5860113421550093</c:v>
                </c:pt>
                <c:pt idx="13">
                  <c:v>2.9391304347826086</c:v>
                </c:pt>
                <c:pt idx="14">
                  <c:v>3.0029268292682931</c:v>
                </c:pt>
                <c:pt idx="15">
                  <c:v>3.0857142857142854</c:v>
                </c:pt>
                <c:pt idx="16">
                  <c:v>2.7203140333660456</c:v>
                </c:pt>
                <c:pt idx="17">
                  <c:v>1.5458015267175571</c:v>
                </c:pt>
                <c:pt idx="18">
                  <c:v>1.5667311411992264</c:v>
                </c:pt>
                <c:pt idx="19">
                  <c:v>1.7950594693504118</c:v>
                </c:pt>
                <c:pt idx="20">
                  <c:v>1.7396449704142014</c:v>
                </c:pt>
                <c:pt idx="21">
                  <c:v>1.9411764705882357</c:v>
                </c:pt>
                <c:pt idx="22">
                  <c:v>1.6475170399221033</c:v>
                </c:pt>
                <c:pt idx="23">
                  <c:v>1.8322337417530636</c:v>
                </c:pt>
                <c:pt idx="24">
                  <c:v>1.7629774730656218</c:v>
                </c:pt>
                <c:pt idx="25">
                  <c:v>2.1926345609065154</c:v>
                </c:pt>
                <c:pt idx="26">
                  <c:v>2.1634615384615383</c:v>
                </c:pt>
                <c:pt idx="27">
                  <c:v>2.2026768642447419</c:v>
                </c:pt>
                <c:pt idx="28">
                  <c:v>2.2390670553935865</c:v>
                </c:pt>
                <c:pt idx="29">
                  <c:v>2.2975047984644918</c:v>
                </c:pt>
                <c:pt idx="30">
                  <c:v>2.2180094786729856</c:v>
                </c:pt>
                <c:pt idx="31">
                  <c:v>2.3688760806916425</c:v>
                </c:pt>
                <c:pt idx="32">
                  <c:v>2.5590778097982709</c:v>
                </c:pt>
                <c:pt idx="33">
                  <c:v>2.5263157894736845</c:v>
                </c:pt>
                <c:pt idx="34">
                  <c:v>2.5120307988450432</c:v>
                </c:pt>
                <c:pt idx="35">
                  <c:v>2.4186471663619744</c:v>
                </c:pt>
                <c:pt idx="36">
                  <c:v>2.6341463414634148</c:v>
                </c:pt>
                <c:pt idx="37">
                  <c:v>2.5836501901140685</c:v>
                </c:pt>
                <c:pt idx="38">
                  <c:v>2.4976076555023927</c:v>
                </c:pt>
                <c:pt idx="39">
                  <c:v>2.5320574162679428</c:v>
                </c:pt>
                <c:pt idx="40">
                  <c:v>2.8538681948424069</c:v>
                </c:pt>
                <c:pt idx="41">
                  <c:v>2.676835081029552</c:v>
                </c:pt>
                <c:pt idx="42">
                  <c:v>2.823869104908566</c:v>
                </c:pt>
                <c:pt idx="43">
                  <c:v>2.8036866359447004</c:v>
                </c:pt>
                <c:pt idx="44">
                  <c:v>2.7996183206106871</c:v>
                </c:pt>
                <c:pt idx="45">
                  <c:v>3.0907317073170737</c:v>
                </c:pt>
                <c:pt idx="46">
                  <c:v>2.91796875</c:v>
                </c:pt>
                <c:pt idx="47">
                  <c:v>2.9226361031518624</c:v>
                </c:pt>
                <c:pt idx="48">
                  <c:v>3.0969581749049433</c:v>
                </c:pt>
                <c:pt idx="49">
                  <c:v>3.046153846153846</c:v>
                </c:pt>
                <c:pt idx="50">
                  <c:v>3.3781990521327012</c:v>
                </c:pt>
                <c:pt idx="51">
                  <c:v>3.1907514450867049</c:v>
                </c:pt>
                <c:pt idx="52">
                  <c:v>3.4648700673724733</c:v>
                </c:pt>
                <c:pt idx="53">
                  <c:v>3.4319066147859929</c:v>
                </c:pt>
                <c:pt idx="54">
                  <c:v>3.3675213675213675</c:v>
                </c:pt>
                <c:pt idx="55">
                  <c:v>2.9221902017291064</c:v>
                </c:pt>
                <c:pt idx="56">
                  <c:v>2.979788257940327</c:v>
                </c:pt>
                <c:pt idx="57">
                  <c:v>3.1304347826086958</c:v>
                </c:pt>
                <c:pt idx="58">
                  <c:v>2.9273959341723135</c:v>
                </c:pt>
                <c:pt idx="59">
                  <c:v>3.3455953533397871</c:v>
                </c:pt>
                <c:pt idx="60">
                  <c:v>3.2272291466922338</c:v>
                </c:pt>
                <c:pt idx="61">
                  <c:v>3.1996197718631181</c:v>
                </c:pt>
                <c:pt idx="62">
                  <c:v>3.4434782608695653</c:v>
                </c:pt>
                <c:pt idx="63">
                  <c:v>3.3639921722113502</c:v>
                </c:pt>
                <c:pt idx="64">
                  <c:v>3.4188034188034191</c:v>
                </c:pt>
                <c:pt idx="65">
                  <c:v>3.3198847262247839</c:v>
                </c:pt>
                <c:pt idx="66">
                  <c:v>3.3230769230769228</c:v>
                </c:pt>
                <c:pt idx="67">
                  <c:v>4.0701754385964914</c:v>
                </c:pt>
                <c:pt idx="68">
                  <c:v>3.307177033492823</c:v>
                </c:pt>
                <c:pt idx="69">
                  <c:v>3.6883852691218126</c:v>
                </c:pt>
                <c:pt idx="70">
                  <c:v>4.1484375</c:v>
                </c:pt>
                <c:pt idx="71">
                  <c:v>3.5053554040895811</c:v>
                </c:pt>
                <c:pt idx="72">
                  <c:v>3.3935860058309042</c:v>
                </c:pt>
                <c:pt idx="73">
                  <c:v>3.4860977948226268</c:v>
                </c:pt>
                <c:pt idx="74">
                  <c:v>3.5381679389312977</c:v>
                </c:pt>
                <c:pt idx="75">
                  <c:v>2.8826815642458099</c:v>
                </c:pt>
                <c:pt idx="76">
                  <c:v>3.1633237822349565</c:v>
                </c:pt>
                <c:pt idx="77">
                  <c:v>3.1052132701421797</c:v>
                </c:pt>
                <c:pt idx="78">
                  <c:v>2.898876404494382</c:v>
                </c:pt>
                <c:pt idx="79">
                  <c:v>2.4452830188679249</c:v>
                </c:pt>
                <c:pt idx="80">
                  <c:v>2.2824207492795385</c:v>
                </c:pt>
                <c:pt idx="81">
                  <c:v>1.8068833652007648</c:v>
                </c:pt>
                <c:pt idx="82">
                  <c:v>1.7192982456140353</c:v>
                </c:pt>
                <c:pt idx="83">
                  <c:v>1.9420579420579422</c:v>
                </c:pt>
                <c:pt idx="84">
                  <c:v>1.8803418803418805</c:v>
                </c:pt>
                <c:pt idx="85">
                  <c:v>2.1186602870813402</c:v>
                </c:pt>
                <c:pt idx="86">
                  <c:v>2.238894373149062</c:v>
                </c:pt>
                <c:pt idx="87">
                  <c:v>2.1125954198473287</c:v>
                </c:pt>
                <c:pt idx="88">
                  <c:v>2.1432720232333011</c:v>
                </c:pt>
                <c:pt idx="89">
                  <c:v>1.9864472410454987</c:v>
                </c:pt>
                <c:pt idx="90">
                  <c:v>2.1984732824427482</c:v>
                </c:pt>
                <c:pt idx="91">
                  <c:v>1.4883268482490273</c:v>
                </c:pt>
                <c:pt idx="92">
                  <c:v>1.7719298245614035</c:v>
                </c:pt>
                <c:pt idx="93">
                  <c:v>1.8104448742746615</c:v>
                </c:pt>
                <c:pt idx="94">
                  <c:v>1.8798029556650244</c:v>
                </c:pt>
                <c:pt idx="95">
                  <c:v>2.1217391304347823</c:v>
                </c:pt>
                <c:pt idx="96">
                  <c:v>2.1712062256809341</c:v>
                </c:pt>
                <c:pt idx="97">
                  <c:v>1.9598853868194843</c:v>
                </c:pt>
                <c:pt idx="98">
                  <c:v>1.8334965719882468</c:v>
                </c:pt>
                <c:pt idx="99">
                  <c:v>1.7595307917888561</c:v>
                </c:pt>
                <c:pt idx="100">
                  <c:v>2.1727183513248285</c:v>
                </c:pt>
                <c:pt idx="101">
                  <c:v>1.7509727626459146</c:v>
                </c:pt>
                <c:pt idx="102">
                  <c:v>1.8853754940711462</c:v>
                </c:pt>
                <c:pt idx="103">
                  <c:v>2.0417910447761192</c:v>
                </c:pt>
                <c:pt idx="104">
                  <c:v>2.1699604743083003</c:v>
                </c:pt>
                <c:pt idx="105">
                  <c:v>2</c:v>
                </c:pt>
                <c:pt idx="106">
                  <c:v>2.0612043435340572</c:v>
                </c:pt>
                <c:pt idx="107">
                  <c:v>2.0612043435340572</c:v>
                </c:pt>
                <c:pt idx="108">
                  <c:v>2.1606969990319458</c:v>
                </c:pt>
                <c:pt idx="109">
                  <c:v>2.2564102564102564</c:v>
                </c:pt>
                <c:pt idx="110">
                  <c:v>1.6924583741429968</c:v>
                </c:pt>
                <c:pt idx="111">
                  <c:v>2.2918707149853081</c:v>
                </c:pt>
                <c:pt idx="112">
                  <c:v>2.2239382239382244</c:v>
                </c:pt>
                <c:pt idx="113">
                  <c:v>1.8705882352941179</c:v>
                </c:pt>
                <c:pt idx="114">
                  <c:v>1.9572815533980583</c:v>
                </c:pt>
                <c:pt idx="115">
                  <c:v>1.9130434782608696</c:v>
                </c:pt>
                <c:pt idx="116">
                  <c:v>2.2941176470588238</c:v>
                </c:pt>
                <c:pt idx="117">
                  <c:v>2.3112840466926072</c:v>
                </c:pt>
                <c:pt idx="118">
                  <c:v>2.4163424124513622</c:v>
                </c:pt>
                <c:pt idx="119">
                  <c:v>2.4347826086956523</c:v>
                </c:pt>
                <c:pt idx="120">
                  <c:v>2.1786743515850144</c:v>
                </c:pt>
                <c:pt idx="121">
                  <c:v>2.1502890173410405</c:v>
                </c:pt>
                <c:pt idx="122">
                  <c:v>2.1518026565464896</c:v>
                </c:pt>
                <c:pt idx="123">
                  <c:v>2.5043478260869567</c:v>
                </c:pt>
                <c:pt idx="124">
                  <c:v>2.3815915627996165</c:v>
                </c:pt>
                <c:pt idx="125">
                  <c:v>2.4116504854368932</c:v>
                </c:pt>
                <c:pt idx="126">
                  <c:v>2.165680473372781</c:v>
                </c:pt>
                <c:pt idx="127">
                  <c:v>2.2982456140350878</c:v>
                </c:pt>
                <c:pt idx="128">
                  <c:v>2.5438596491228069</c:v>
                </c:pt>
                <c:pt idx="129">
                  <c:v>2.5739299610894943</c:v>
                </c:pt>
                <c:pt idx="130">
                  <c:v>2.4923076923076923</c:v>
                </c:pt>
                <c:pt idx="131">
                  <c:v>2.5714285714285716</c:v>
                </c:pt>
                <c:pt idx="132">
                  <c:v>2.4139941690962101</c:v>
                </c:pt>
                <c:pt idx="133">
                  <c:v>2.2982456140350878</c:v>
                </c:pt>
                <c:pt idx="134">
                  <c:v>2.3085824493731923</c:v>
                </c:pt>
                <c:pt idx="135">
                  <c:v>2.4688715953307394</c:v>
                </c:pt>
                <c:pt idx="136">
                  <c:v>2.6058981233243972</c:v>
                </c:pt>
                <c:pt idx="137">
                  <c:v>2.5440464666021296</c:v>
                </c:pt>
                <c:pt idx="138">
                  <c:v>2.327130264446621</c:v>
                </c:pt>
                <c:pt idx="139">
                  <c:v>1.9420579420579422</c:v>
                </c:pt>
                <c:pt idx="140">
                  <c:v>2.2237354085603114</c:v>
                </c:pt>
                <c:pt idx="141">
                  <c:v>1.9075144508670518</c:v>
                </c:pt>
                <c:pt idx="142">
                  <c:v>2.4797687861271673</c:v>
                </c:pt>
                <c:pt idx="143">
                  <c:v>1.7320754716981133</c:v>
                </c:pt>
                <c:pt idx="144">
                  <c:v>8.1528424976700844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9-EECA-48A5-9651-568CA05A8C2B}"/>
            </c:ext>
          </c:extLst>
        </c:ser>
        <c:ser>
          <c:idx val="1"/>
          <c:order val="1"/>
          <c:tx>
            <c:strRef>
              <c:f>'Hidro dados'!$F$1</c:f>
              <c:strCache>
                <c:ptCount val="1"/>
                <c:pt idx="0">
                  <c:v>Pressão 1 (kg/cm2)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Lbls>
            <c:dLbl>
              <c:idx val="1"/>
              <c:layout>
                <c:manualLayout>
                  <c:x val="-1.0533886611212389E-2"/>
                  <c:y val="-3.1691080998576829E-2"/>
                </c:manualLayout>
              </c:layout>
              <c:spPr>
                <a:noFill/>
                <a:ln w="25400">
                  <a:noFill/>
                </a:ln>
              </c:spPr>
              <c:txPr>
                <a:bodyPr rot="0" vert="horz"/>
                <a:lstStyle/>
                <a:p>
                  <a:pPr>
                    <a:defRPr/>
                  </a:pPr>
                  <a:endParaRPr lang="pt-BR"/>
                </a:p>
              </c:txPr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ECA-48A5-9651-568CA05A8C2B}"/>
                </c:ext>
              </c:extLst>
            </c:dLbl>
            <c:dLbl>
              <c:idx val="143"/>
              <c:spPr>
                <a:noFill/>
                <a:ln w="25400">
                  <a:noFill/>
                </a:ln>
              </c:spPr>
              <c:txPr>
                <a:bodyPr rot="0" vert="horz"/>
                <a:lstStyle/>
                <a:p>
                  <a:pPr>
                    <a:defRPr/>
                  </a:pPr>
                  <a:endParaRPr lang="pt-B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EECA-48A5-9651-568CA05A8C2B}"/>
                </c:ext>
              </c:extLst>
            </c:dLbl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'Hidro dados'!$A$2:$A$146</c:f>
              <c:numCache>
                <c:formatCode>#,##0</c:formatCode>
                <c:ptCount val="1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</c:numCache>
            </c:numRef>
          </c:xVal>
          <c:yVal>
            <c:numRef>
              <c:f>'Hidro dados'!$F$2:$F$146</c:f>
              <c:numCache>
                <c:formatCode>General</c:formatCode>
                <c:ptCount val="145"/>
                <c:pt idx="0">
                  <c:v>3.8</c:v>
                </c:pt>
                <c:pt idx="1">
                  <c:v>4</c:v>
                </c:pt>
                <c:pt idx="2">
                  <c:v>3.9</c:v>
                </c:pt>
                <c:pt idx="3">
                  <c:v>3.8</c:v>
                </c:pt>
                <c:pt idx="4">
                  <c:v>3.8</c:v>
                </c:pt>
                <c:pt idx="5">
                  <c:v>3.7</c:v>
                </c:pt>
                <c:pt idx="6">
                  <c:v>3.7</c:v>
                </c:pt>
                <c:pt idx="7">
                  <c:v>3.6</c:v>
                </c:pt>
                <c:pt idx="8">
                  <c:v>3.4</c:v>
                </c:pt>
                <c:pt idx="9">
                  <c:v>3.4</c:v>
                </c:pt>
                <c:pt idx="10">
                  <c:v>3.3</c:v>
                </c:pt>
                <c:pt idx="11">
                  <c:v>3.3</c:v>
                </c:pt>
                <c:pt idx="12">
                  <c:v>3.2</c:v>
                </c:pt>
                <c:pt idx="13">
                  <c:v>3.2</c:v>
                </c:pt>
                <c:pt idx="14">
                  <c:v>3.1</c:v>
                </c:pt>
                <c:pt idx="15">
                  <c:v>3</c:v>
                </c:pt>
                <c:pt idx="16">
                  <c:v>3</c:v>
                </c:pt>
                <c:pt idx="17">
                  <c:v>2.9</c:v>
                </c:pt>
                <c:pt idx="18">
                  <c:v>2.9</c:v>
                </c:pt>
                <c:pt idx="19">
                  <c:v>2.8</c:v>
                </c:pt>
                <c:pt idx="20">
                  <c:v>2.7</c:v>
                </c:pt>
                <c:pt idx="21">
                  <c:v>2.8</c:v>
                </c:pt>
                <c:pt idx="22">
                  <c:v>2.7</c:v>
                </c:pt>
                <c:pt idx="23">
                  <c:v>2.6</c:v>
                </c:pt>
                <c:pt idx="24">
                  <c:v>2.7</c:v>
                </c:pt>
                <c:pt idx="25">
                  <c:v>2.7</c:v>
                </c:pt>
                <c:pt idx="26">
                  <c:v>2.6</c:v>
                </c:pt>
                <c:pt idx="27">
                  <c:v>2.6</c:v>
                </c:pt>
                <c:pt idx="28">
                  <c:v>2.5</c:v>
                </c:pt>
                <c:pt idx="29">
                  <c:v>2.5</c:v>
                </c:pt>
                <c:pt idx="30">
                  <c:v>2.5</c:v>
                </c:pt>
                <c:pt idx="31">
                  <c:v>2.5</c:v>
                </c:pt>
                <c:pt idx="32">
                  <c:v>2.5</c:v>
                </c:pt>
                <c:pt idx="33">
                  <c:v>2.4</c:v>
                </c:pt>
                <c:pt idx="34">
                  <c:v>2.4</c:v>
                </c:pt>
                <c:pt idx="35">
                  <c:v>2.2999999999999998</c:v>
                </c:pt>
                <c:pt idx="36">
                  <c:v>2.2999999999999998</c:v>
                </c:pt>
                <c:pt idx="37">
                  <c:v>2.2999999999999998</c:v>
                </c:pt>
                <c:pt idx="38">
                  <c:v>2.2999999999999998</c:v>
                </c:pt>
                <c:pt idx="39">
                  <c:v>2.2000000000000002</c:v>
                </c:pt>
                <c:pt idx="40">
                  <c:v>2.2000000000000002</c:v>
                </c:pt>
                <c:pt idx="41">
                  <c:v>2.2000000000000002</c:v>
                </c:pt>
                <c:pt idx="42">
                  <c:v>2.2000000000000002</c:v>
                </c:pt>
                <c:pt idx="43">
                  <c:v>2.2000000000000002</c:v>
                </c:pt>
                <c:pt idx="44">
                  <c:v>2.1</c:v>
                </c:pt>
                <c:pt idx="45">
                  <c:v>2.1</c:v>
                </c:pt>
                <c:pt idx="46">
                  <c:v>2.1</c:v>
                </c:pt>
                <c:pt idx="47">
                  <c:v>2.1</c:v>
                </c:pt>
                <c:pt idx="48">
                  <c:v>2</c:v>
                </c:pt>
                <c:pt idx="49">
                  <c:v>2</c:v>
                </c:pt>
                <c:pt idx="50">
                  <c:v>2</c:v>
                </c:pt>
                <c:pt idx="51">
                  <c:v>2</c:v>
                </c:pt>
                <c:pt idx="52">
                  <c:v>2</c:v>
                </c:pt>
                <c:pt idx="53">
                  <c:v>1.9</c:v>
                </c:pt>
                <c:pt idx="54">
                  <c:v>1.9</c:v>
                </c:pt>
                <c:pt idx="55">
                  <c:v>1.9</c:v>
                </c:pt>
                <c:pt idx="56">
                  <c:v>1.8</c:v>
                </c:pt>
                <c:pt idx="57">
                  <c:v>1.8</c:v>
                </c:pt>
                <c:pt idx="58">
                  <c:v>1.8</c:v>
                </c:pt>
                <c:pt idx="59">
                  <c:v>1.8</c:v>
                </c:pt>
                <c:pt idx="60">
                  <c:v>1.8</c:v>
                </c:pt>
                <c:pt idx="61">
                  <c:v>1.7</c:v>
                </c:pt>
                <c:pt idx="62">
                  <c:v>1.7</c:v>
                </c:pt>
                <c:pt idx="63">
                  <c:v>1.7</c:v>
                </c:pt>
                <c:pt idx="64">
                  <c:v>1.6</c:v>
                </c:pt>
                <c:pt idx="65">
                  <c:v>1.6</c:v>
                </c:pt>
                <c:pt idx="66">
                  <c:v>1.6</c:v>
                </c:pt>
                <c:pt idx="67">
                  <c:v>1.6</c:v>
                </c:pt>
                <c:pt idx="68">
                  <c:v>1.6</c:v>
                </c:pt>
                <c:pt idx="69">
                  <c:v>1.6</c:v>
                </c:pt>
                <c:pt idx="70">
                  <c:v>1.6</c:v>
                </c:pt>
                <c:pt idx="71">
                  <c:v>1.4</c:v>
                </c:pt>
                <c:pt idx="72">
                  <c:v>1.5</c:v>
                </c:pt>
                <c:pt idx="73">
                  <c:v>1.4</c:v>
                </c:pt>
                <c:pt idx="74">
                  <c:v>1.4</c:v>
                </c:pt>
                <c:pt idx="75">
                  <c:v>1.4</c:v>
                </c:pt>
                <c:pt idx="76">
                  <c:v>1.4</c:v>
                </c:pt>
                <c:pt idx="77">
                  <c:v>1.5</c:v>
                </c:pt>
                <c:pt idx="78">
                  <c:v>1.4</c:v>
                </c:pt>
                <c:pt idx="79">
                  <c:v>1.4</c:v>
                </c:pt>
                <c:pt idx="80" formatCode="0.0">
                  <c:v>1.4</c:v>
                </c:pt>
                <c:pt idx="81" formatCode="0.0">
                  <c:v>1.4</c:v>
                </c:pt>
                <c:pt idx="82" formatCode="0.0">
                  <c:v>1.2</c:v>
                </c:pt>
                <c:pt idx="83" formatCode="0.0">
                  <c:v>1.2</c:v>
                </c:pt>
                <c:pt idx="84" formatCode="0.0">
                  <c:v>1.2</c:v>
                </c:pt>
                <c:pt idx="85" formatCode="0.0">
                  <c:v>1.2</c:v>
                </c:pt>
                <c:pt idx="86" formatCode="0.0">
                  <c:v>1.3</c:v>
                </c:pt>
                <c:pt idx="87" formatCode="0.0">
                  <c:v>1.3</c:v>
                </c:pt>
                <c:pt idx="88" formatCode="0.0">
                  <c:v>1.3</c:v>
                </c:pt>
                <c:pt idx="89" formatCode="0.0">
                  <c:v>1.2</c:v>
                </c:pt>
                <c:pt idx="90" formatCode="0.0">
                  <c:v>1.3</c:v>
                </c:pt>
                <c:pt idx="91" formatCode="0.0">
                  <c:v>1.2</c:v>
                </c:pt>
                <c:pt idx="92" formatCode="0.0">
                  <c:v>1.1000000000000001</c:v>
                </c:pt>
                <c:pt idx="93" formatCode="0.0">
                  <c:v>1.1000000000000001</c:v>
                </c:pt>
                <c:pt idx="94" formatCode="0.0">
                  <c:v>1.2</c:v>
                </c:pt>
                <c:pt idx="95" formatCode="0.0">
                  <c:v>1.2</c:v>
                </c:pt>
                <c:pt idx="96" formatCode="0.0">
                  <c:v>1.2</c:v>
                </c:pt>
                <c:pt idx="97" formatCode="0.0">
                  <c:v>1.2</c:v>
                </c:pt>
                <c:pt idx="98" formatCode="0.0">
                  <c:v>1.2</c:v>
                </c:pt>
                <c:pt idx="99" formatCode="0.0">
                  <c:v>1.3</c:v>
                </c:pt>
                <c:pt idx="100" formatCode="0.0">
                  <c:v>1.2</c:v>
                </c:pt>
                <c:pt idx="101" formatCode="0.0">
                  <c:v>1.3</c:v>
                </c:pt>
                <c:pt idx="102" formatCode="0.0">
                  <c:v>1.2</c:v>
                </c:pt>
                <c:pt idx="103" formatCode="0.0">
                  <c:v>1.2</c:v>
                </c:pt>
                <c:pt idx="104" formatCode="0.0">
                  <c:v>1.2</c:v>
                </c:pt>
                <c:pt idx="105" formatCode="0.0">
                  <c:v>1.2</c:v>
                </c:pt>
                <c:pt idx="106" formatCode="0.0">
                  <c:v>1.2</c:v>
                </c:pt>
                <c:pt idx="107" formatCode="0.0">
                  <c:v>1.3</c:v>
                </c:pt>
                <c:pt idx="108" formatCode="0.0">
                  <c:v>1.3</c:v>
                </c:pt>
                <c:pt idx="109" formatCode="0.0">
                  <c:v>1.2</c:v>
                </c:pt>
                <c:pt idx="110" formatCode="0.0">
                  <c:v>1.2</c:v>
                </c:pt>
                <c:pt idx="111" formatCode="0.0">
                  <c:v>1.2</c:v>
                </c:pt>
                <c:pt idx="112" formatCode="0.0">
                  <c:v>1.3</c:v>
                </c:pt>
                <c:pt idx="113" formatCode="0.0">
                  <c:v>1.3</c:v>
                </c:pt>
                <c:pt idx="114" formatCode="0.0">
                  <c:v>1.2</c:v>
                </c:pt>
                <c:pt idx="115" formatCode="0.0">
                  <c:v>1.3</c:v>
                </c:pt>
                <c:pt idx="116" formatCode="0.0">
                  <c:v>1.2</c:v>
                </c:pt>
                <c:pt idx="117" formatCode="0.0">
                  <c:v>1.2</c:v>
                </c:pt>
                <c:pt idx="118" formatCode="0.0">
                  <c:v>1.2</c:v>
                </c:pt>
                <c:pt idx="119" formatCode="0.0">
                  <c:v>1.2</c:v>
                </c:pt>
                <c:pt idx="120" formatCode="0.0">
                  <c:v>1.2</c:v>
                </c:pt>
                <c:pt idx="121" formatCode="0.0">
                  <c:v>1.3</c:v>
                </c:pt>
                <c:pt idx="122" formatCode="0.0">
                  <c:v>1.1000000000000001</c:v>
                </c:pt>
                <c:pt idx="123" formatCode="0.0">
                  <c:v>1.2</c:v>
                </c:pt>
                <c:pt idx="124" formatCode="0.0">
                  <c:v>1.3</c:v>
                </c:pt>
                <c:pt idx="125" formatCode="0.0">
                  <c:v>1.3</c:v>
                </c:pt>
                <c:pt idx="126" formatCode="0.0">
                  <c:v>1.3</c:v>
                </c:pt>
                <c:pt idx="127" formatCode="0.0">
                  <c:v>1.2</c:v>
                </c:pt>
                <c:pt idx="128" formatCode="0.0">
                  <c:v>1.2</c:v>
                </c:pt>
                <c:pt idx="129" formatCode="0.0">
                  <c:v>1.2</c:v>
                </c:pt>
                <c:pt idx="130" formatCode="0.0">
                  <c:v>1.2</c:v>
                </c:pt>
                <c:pt idx="131" formatCode="0.0">
                  <c:v>1.2</c:v>
                </c:pt>
                <c:pt idx="132" formatCode="0.0">
                  <c:v>1.2</c:v>
                </c:pt>
                <c:pt idx="133" formatCode="0.0">
                  <c:v>1.2</c:v>
                </c:pt>
                <c:pt idx="134" formatCode="0.0">
                  <c:v>1.1000000000000001</c:v>
                </c:pt>
                <c:pt idx="135" formatCode="0.0">
                  <c:v>1.2</c:v>
                </c:pt>
                <c:pt idx="136" formatCode="0.0">
                  <c:v>1.2</c:v>
                </c:pt>
                <c:pt idx="137" formatCode="0.0">
                  <c:v>1.2</c:v>
                </c:pt>
                <c:pt idx="138" formatCode="0.0">
                  <c:v>1.2</c:v>
                </c:pt>
                <c:pt idx="139" formatCode="0.0">
                  <c:v>1.3</c:v>
                </c:pt>
                <c:pt idx="140" formatCode="0.0">
                  <c:v>1.2</c:v>
                </c:pt>
                <c:pt idx="141" formatCode="0.0">
                  <c:v>1.3</c:v>
                </c:pt>
                <c:pt idx="142" formatCode="0.0">
                  <c:v>1.2</c:v>
                </c:pt>
                <c:pt idx="143" formatCode="0.0">
                  <c:v>1.2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C-EECA-48A5-9651-568CA05A8C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"/>
        <c:axId val="4"/>
      </c:scatterChart>
      <c:valAx>
        <c:axId val="1046890415"/>
        <c:scaling>
          <c:orientation val="minMax"/>
          <c:max val="150"/>
          <c:min val="0"/>
        </c:scaling>
        <c:delete val="0"/>
        <c:axPos val="b"/>
        <c:numFmt formatCode="#,##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1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Diâmetro (mm) e Pressão (kgf/cm</a:t>
                </a:r>
                <a:r>
                  <a:rPr lang="pt-BR" baseline="30000"/>
                  <a:t>2</a:t>
                </a:r>
                <a:r>
                  <a:rPr lang="pt-BR"/>
                  <a:t>)</a:t>
                </a:r>
              </a:p>
            </c:rich>
          </c:tx>
          <c:overlay val="0"/>
        </c:title>
        <c:numFmt formatCode="#,##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 b="1"/>
            </a:pPr>
            <a:endParaRPr lang="pt-BR"/>
          </a:p>
        </c:txPr>
        <c:crossAx val="1046890415"/>
        <c:crosses val="autoZero"/>
        <c:crossBetween val="midCat"/>
      </c:valAx>
      <c:valAx>
        <c:axId val="3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4"/>
        <c:crosses val="autoZero"/>
        <c:crossBetween val="midCat"/>
      </c:valAx>
      <c:valAx>
        <c:axId val="4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Vazão</a:t>
                </a:r>
                <a:r>
                  <a:rPr lang="pt-BR" baseline="0"/>
                  <a:t> (m</a:t>
                </a:r>
                <a:r>
                  <a:rPr lang="pt-BR" baseline="30000"/>
                  <a:t>3</a:t>
                </a:r>
                <a:r>
                  <a:rPr lang="pt-BR" baseline="0"/>
                  <a:t>/h)</a:t>
                </a:r>
                <a:endParaRPr lang="pt-BR"/>
              </a:p>
            </c:rich>
          </c:tx>
          <c:overlay val="0"/>
        </c:title>
        <c:numFmt formatCode="0.00" sourceLinked="1"/>
        <c:majorTickMark val="out"/>
        <c:minorTickMark val="out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b="1"/>
            </a:pPr>
            <a:endParaRPr lang="pt-BR"/>
          </a:p>
        </c:txPr>
        <c:crossAx val="3"/>
        <c:crosses val="max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2525731751885445"/>
          <c:y val="0.94663289233515857"/>
          <c:w val="0.74742672098740826"/>
          <c:h val="0.98602295588685929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>
          <a:solidFill>
            <a:sysClr val="windowText" lastClr="000000"/>
          </a:solidFill>
          <a:latin typeface="+mn-lt"/>
          <a:cs typeface="Times New Roman" panose="02020603050405020304" pitchFamily="18" charset="0"/>
        </a:defRPr>
      </a:pPr>
      <a:endParaRPr lang="pt-BR"/>
    </a:p>
  </c:txPr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9.0558450873075763E-2"/>
          <c:y val="2.6073941799712987E-2"/>
          <c:w val="0.85904956546018263"/>
          <c:h val="0.78899360095015436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'Hidro dados'!$P$2</c:f>
              <c:strCache>
                <c:ptCount val="1"/>
                <c:pt idx="0">
                  <c:v>D do bocal depois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'Hidro dados'!$N$3:$N$146</c:f>
              <c:numCache>
                <c:formatCode>0.00</c:formatCode>
                <c:ptCount val="1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</c:numCache>
            </c:numRef>
          </c:xVal>
          <c:yVal>
            <c:numRef>
              <c:f>'Hidro dados'!$P$3:$P$146</c:f>
              <c:numCache>
                <c:formatCode>0.00</c:formatCode>
                <c:ptCount val="144"/>
                <c:pt idx="0">
                  <c:v>7</c:v>
                </c:pt>
                <c:pt idx="1">
                  <c:v>8.5</c:v>
                </c:pt>
                <c:pt idx="2">
                  <c:v>10</c:v>
                </c:pt>
                <c:pt idx="3">
                  <c:v>11</c:v>
                </c:pt>
                <c:pt idx="4">
                  <c:v>12.5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15.5</c:v>
                </c:pt>
                <c:pt idx="9">
                  <c:v>15.5</c:v>
                </c:pt>
                <c:pt idx="10">
                  <c:v>16</c:v>
                </c:pt>
                <c:pt idx="11">
                  <c:v>16</c:v>
                </c:pt>
                <c:pt idx="12">
                  <c:v>16</c:v>
                </c:pt>
                <c:pt idx="13">
                  <c:v>16.5</c:v>
                </c:pt>
                <c:pt idx="14">
                  <c:v>16.5</c:v>
                </c:pt>
                <c:pt idx="15">
                  <c:v>16.5</c:v>
                </c:pt>
                <c:pt idx="16">
                  <c:v>17</c:v>
                </c:pt>
                <c:pt idx="17">
                  <c:v>17</c:v>
                </c:pt>
                <c:pt idx="18">
                  <c:v>17</c:v>
                </c:pt>
                <c:pt idx="19">
                  <c:v>17.5</c:v>
                </c:pt>
                <c:pt idx="20">
                  <c:v>17.5</c:v>
                </c:pt>
                <c:pt idx="21">
                  <c:v>17.5</c:v>
                </c:pt>
                <c:pt idx="22">
                  <c:v>17.5</c:v>
                </c:pt>
                <c:pt idx="23">
                  <c:v>18</c:v>
                </c:pt>
                <c:pt idx="24">
                  <c:v>18</c:v>
                </c:pt>
                <c:pt idx="25">
                  <c:v>18</c:v>
                </c:pt>
                <c:pt idx="26">
                  <c:v>18.5</c:v>
                </c:pt>
                <c:pt idx="27">
                  <c:v>18.5</c:v>
                </c:pt>
                <c:pt idx="28">
                  <c:v>18.5</c:v>
                </c:pt>
                <c:pt idx="29">
                  <c:v>18.5</c:v>
                </c:pt>
                <c:pt idx="30">
                  <c:v>18.5</c:v>
                </c:pt>
                <c:pt idx="31">
                  <c:v>18.5</c:v>
                </c:pt>
                <c:pt idx="32">
                  <c:v>18.5</c:v>
                </c:pt>
                <c:pt idx="33">
                  <c:v>18.5</c:v>
                </c:pt>
                <c:pt idx="34">
                  <c:v>18.5</c:v>
                </c:pt>
                <c:pt idx="35">
                  <c:v>18.5</c:v>
                </c:pt>
                <c:pt idx="36">
                  <c:v>19</c:v>
                </c:pt>
                <c:pt idx="37">
                  <c:v>19</c:v>
                </c:pt>
                <c:pt idx="38">
                  <c:v>19</c:v>
                </c:pt>
                <c:pt idx="39">
                  <c:v>19</c:v>
                </c:pt>
                <c:pt idx="40">
                  <c:v>19</c:v>
                </c:pt>
                <c:pt idx="41">
                  <c:v>19</c:v>
                </c:pt>
                <c:pt idx="42">
                  <c:v>19</c:v>
                </c:pt>
                <c:pt idx="43">
                  <c:v>19</c:v>
                </c:pt>
                <c:pt idx="44">
                  <c:v>19</c:v>
                </c:pt>
                <c:pt idx="45">
                  <c:v>19</c:v>
                </c:pt>
                <c:pt idx="46">
                  <c:v>19</c:v>
                </c:pt>
                <c:pt idx="47">
                  <c:v>19</c:v>
                </c:pt>
                <c:pt idx="48">
                  <c:v>19</c:v>
                </c:pt>
                <c:pt idx="49">
                  <c:v>19</c:v>
                </c:pt>
                <c:pt idx="50">
                  <c:v>19</c:v>
                </c:pt>
                <c:pt idx="51">
                  <c:v>19.5</c:v>
                </c:pt>
                <c:pt idx="52">
                  <c:v>19.5</c:v>
                </c:pt>
                <c:pt idx="53">
                  <c:v>19.5</c:v>
                </c:pt>
                <c:pt idx="54">
                  <c:v>19.5</c:v>
                </c:pt>
                <c:pt idx="55">
                  <c:v>19.5</c:v>
                </c:pt>
                <c:pt idx="56">
                  <c:v>19.5</c:v>
                </c:pt>
                <c:pt idx="57">
                  <c:v>19.5</c:v>
                </c:pt>
                <c:pt idx="58">
                  <c:v>19.5</c:v>
                </c:pt>
                <c:pt idx="59">
                  <c:v>19.5</c:v>
                </c:pt>
                <c:pt idx="60">
                  <c:v>19.5</c:v>
                </c:pt>
                <c:pt idx="61">
                  <c:v>19.5</c:v>
                </c:pt>
                <c:pt idx="62">
                  <c:v>19.5</c:v>
                </c:pt>
                <c:pt idx="63">
                  <c:v>19.5</c:v>
                </c:pt>
                <c:pt idx="64">
                  <c:v>19.5</c:v>
                </c:pt>
                <c:pt idx="65">
                  <c:v>19.5</c:v>
                </c:pt>
                <c:pt idx="66">
                  <c:v>20</c:v>
                </c:pt>
                <c:pt idx="67">
                  <c:v>20</c:v>
                </c:pt>
                <c:pt idx="68">
                  <c:v>20</c:v>
                </c:pt>
                <c:pt idx="69">
                  <c:v>20</c:v>
                </c:pt>
                <c:pt idx="70">
                  <c:v>20</c:v>
                </c:pt>
                <c:pt idx="71">
                  <c:v>20</c:v>
                </c:pt>
                <c:pt idx="72">
                  <c:v>20</c:v>
                </c:pt>
                <c:pt idx="73">
                  <c:v>20</c:v>
                </c:pt>
                <c:pt idx="74">
                  <c:v>20</c:v>
                </c:pt>
                <c:pt idx="75">
                  <c:v>20</c:v>
                </c:pt>
                <c:pt idx="76">
                  <c:v>20</c:v>
                </c:pt>
                <c:pt idx="77">
                  <c:v>20</c:v>
                </c:pt>
                <c:pt idx="78">
                  <c:v>20</c:v>
                </c:pt>
                <c:pt idx="79">
                  <c:v>20</c:v>
                </c:pt>
                <c:pt idx="80">
                  <c:v>20</c:v>
                </c:pt>
                <c:pt idx="81">
                  <c:v>20.5</c:v>
                </c:pt>
                <c:pt idx="82">
                  <c:v>20.5</c:v>
                </c:pt>
                <c:pt idx="83">
                  <c:v>20.5</c:v>
                </c:pt>
                <c:pt idx="84">
                  <c:v>20.5</c:v>
                </c:pt>
                <c:pt idx="85">
                  <c:v>20.5</c:v>
                </c:pt>
                <c:pt idx="86">
                  <c:v>20.5</c:v>
                </c:pt>
                <c:pt idx="87">
                  <c:v>20.5</c:v>
                </c:pt>
                <c:pt idx="88">
                  <c:v>20.5</c:v>
                </c:pt>
                <c:pt idx="89">
                  <c:v>20.5</c:v>
                </c:pt>
                <c:pt idx="90">
                  <c:v>20.5</c:v>
                </c:pt>
                <c:pt idx="91">
                  <c:v>20.5</c:v>
                </c:pt>
                <c:pt idx="92">
                  <c:v>20.5</c:v>
                </c:pt>
                <c:pt idx="93">
                  <c:v>21</c:v>
                </c:pt>
                <c:pt idx="94">
                  <c:v>21</c:v>
                </c:pt>
                <c:pt idx="95">
                  <c:v>21</c:v>
                </c:pt>
                <c:pt idx="96">
                  <c:v>21</c:v>
                </c:pt>
                <c:pt idx="97">
                  <c:v>21</c:v>
                </c:pt>
                <c:pt idx="98">
                  <c:v>21</c:v>
                </c:pt>
                <c:pt idx="99">
                  <c:v>21</c:v>
                </c:pt>
                <c:pt idx="100">
                  <c:v>21</c:v>
                </c:pt>
                <c:pt idx="101">
                  <c:v>21</c:v>
                </c:pt>
                <c:pt idx="102">
                  <c:v>21</c:v>
                </c:pt>
                <c:pt idx="103">
                  <c:v>21</c:v>
                </c:pt>
                <c:pt idx="104">
                  <c:v>21</c:v>
                </c:pt>
                <c:pt idx="105">
                  <c:v>21</c:v>
                </c:pt>
                <c:pt idx="106">
                  <c:v>21</c:v>
                </c:pt>
                <c:pt idx="107">
                  <c:v>21</c:v>
                </c:pt>
                <c:pt idx="108">
                  <c:v>21</c:v>
                </c:pt>
                <c:pt idx="109">
                  <c:v>21</c:v>
                </c:pt>
                <c:pt idx="110">
                  <c:v>21</c:v>
                </c:pt>
                <c:pt idx="111">
                  <c:v>21.5</c:v>
                </c:pt>
                <c:pt idx="112">
                  <c:v>21.5</c:v>
                </c:pt>
                <c:pt idx="113">
                  <c:v>21.5</c:v>
                </c:pt>
                <c:pt idx="114">
                  <c:v>22</c:v>
                </c:pt>
                <c:pt idx="115">
                  <c:v>22.5</c:v>
                </c:pt>
                <c:pt idx="116">
                  <c:v>22.5</c:v>
                </c:pt>
                <c:pt idx="117">
                  <c:v>22.5</c:v>
                </c:pt>
                <c:pt idx="118">
                  <c:v>22.5</c:v>
                </c:pt>
                <c:pt idx="119">
                  <c:v>22.5</c:v>
                </c:pt>
                <c:pt idx="120">
                  <c:v>23</c:v>
                </c:pt>
                <c:pt idx="121">
                  <c:v>23</c:v>
                </c:pt>
                <c:pt idx="122">
                  <c:v>23</c:v>
                </c:pt>
                <c:pt idx="123">
                  <c:v>23.5</c:v>
                </c:pt>
                <c:pt idx="124">
                  <c:v>23.5</c:v>
                </c:pt>
                <c:pt idx="125">
                  <c:v>23.5</c:v>
                </c:pt>
                <c:pt idx="126">
                  <c:v>24</c:v>
                </c:pt>
                <c:pt idx="127">
                  <c:v>24</c:v>
                </c:pt>
                <c:pt idx="128">
                  <c:v>24</c:v>
                </c:pt>
                <c:pt idx="129">
                  <c:v>24.5</c:v>
                </c:pt>
                <c:pt idx="130">
                  <c:v>24.5</c:v>
                </c:pt>
                <c:pt idx="131">
                  <c:v>25</c:v>
                </c:pt>
                <c:pt idx="132">
                  <c:v>25</c:v>
                </c:pt>
                <c:pt idx="133">
                  <c:v>25.5</c:v>
                </c:pt>
                <c:pt idx="134">
                  <c:v>25.5</c:v>
                </c:pt>
                <c:pt idx="135">
                  <c:v>25.5</c:v>
                </c:pt>
                <c:pt idx="136">
                  <c:v>25.5</c:v>
                </c:pt>
                <c:pt idx="137">
                  <c:v>26</c:v>
                </c:pt>
                <c:pt idx="138">
                  <c:v>26</c:v>
                </c:pt>
                <c:pt idx="139">
                  <c:v>26</c:v>
                </c:pt>
                <c:pt idx="140">
                  <c:v>26</c:v>
                </c:pt>
                <c:pt idx="141">
                  <c:v>26</c:v>
                </c:pt>
                <c:pt idx="142">
                  <c:v>26</c:v>
                </c:pt>
                <c:pt idx="143">
                  <c:v>26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AD7-4A18-9E5C-475930EA9D25}"/>
            </c:ext>
          </c:extLst>
        </c:ser>
        <c:ser>
          <c:idx val="1"/>
          <c:order val="1"/>
          <c:tx>
            <c:strRef>
              <c:f>'Hidro dados'!$Q$2</c:f>
              <c:strCache>
                <c:ptCount val="1"/>
                <c:pt idx="0">
                  <c:v>D do bocal antes 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'Hidro dados'!$N$3:$N$146</c:f>
              <c:numCache>
                <c:formatCode>0.00</c:formatCode>
                <c:ptCount val="1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</c:numCache>
            </c:numRef>
          </c:xVal>
          <c:yVal>
            <c:numRef>
              <c:f>'Hidro dados'!$Q$3:$Q$146</c:f>
              <c:numCache>
                <c:formatCode>0.00</c:formatCode>
                <c:ptCount val="144"/>
                <c:pt idx="0">
                  <c:v>7</c:v>
                </c:pt>
                <c:pt idx="1">
                  <c:v>8.5</c:v>
                </c:pt>
                <c:pt idx="2">
                  <c:v>10</c:v>
                </c:pt>
                <c:pt idx="3">
                  <c:v>11</c:v>
                </c:pt>
                <c:pt idx="4">
                  <c:v>12.5</c:v>
                </c:pt>
                <c:pt idx="5">
                  <c:v>13</c:v>
                </c:pt>
                <c:pt idx="6">
                  <c:v>14</c:v>
                </c:pt>
                <c:pt idx="7">
                  <c:v>15</c:v>
                </c:pt>
                <c:pt idx="8">
                  <c:v>16</c:v>
                </c:pt>
                <c:pt idx="9">
                  <c:v>17</c:v>
                </c:pt>
                <c:pt idx="10">
                  <c:v>17.5</c:v>
                </c:pt>
                <c:pt idx="11">
                  <c:v>18.5</c:v>
                </c:pt>
                <c:pt idx="12">
                  <c:v>19</c:v>
                </c:pt>
                <c:pt idx="13">
                  <c:v>20</c:v>
                </c:pt>
                <c:pt idx="14">
                  <c:v>20.5</c:v>
                </c:pt>
                <c:pt idx="15">
                  <c:v>21</c:v>
                </c:pt>
                <c:pt idx="16">
                  <c:v>19</c:v>
                </c:pt>
                <c:pt idx="17">
                  <c:v>15.5</c:v>
                </c:pt>
                <c:pt idx="18">
                  <c:v>15.5</c:v>
                </c:pt>
                <c:pt idx="19">
                  <c:v>16</c:v>
                </c:pt>
                <c:pt idx="20">
                  <c:v>16</c:v>
                </c:pt>
                <c:pt idx="21">
                  <c:v>16.5</c:v>
                </c:pt>
                <c:pt idx="22">
                  <c:v>16.5</c:v>
                </c:pt>
                <c:pt idx="23">
                  <c:v>16.5</c:v>
                </c:pt>
                <c:pt idx="24">
                  <c:v>17</c:v>
                </c:pt>
                <c:pt idx="25">
                  <c:v>17</c:v>
                </c:pt>
                <c:pt idx="26">
                  <c:v>17.5</c:v>
                </c:pt>
                <c:pt idx="27">
                  <c:v>17.5</c:v>
                </c:pt>
                <c:pt idx="28">
                  <c:v>17.5</c:v>
                </c:pt>
                <c:pt idx="29">
                  <c:v>18</c:v>
                </c:pt>
                <c:pt idx="30">
                  <c:v>18</c:v>
                </c:pt>
                <c:pt idx="31">
                  <c:v>18</c:v>
                </c:pt>
                <c:pt idx="32">
                  <c:v>18.5</c:v>
                </c:pt>
                <c:pt idx="33">
                  <c:v>18.5</c:v>
                </c:pt>
                <c:pt idx="34">
                  <c:v>19</c:v>
                </c:pt>
                <c:pt idx="35">
                  <c:v>19</c:v>
                </c:pt>
                <c:pt idx="36">
                  <c:v>19</c:v>
                </c:pt>
                <c:pt idx="37">
                  <c:v>19.5</c:v>
                </c:pt>
                <c:pt idx="38">
                  <c:v>19.5</c:v>
                </c:pt>
                <c:pt idx="39">
                  <c:v>19.5</c:v>
                </c:pt>
                <c:pt idx="40">
                  <c:v>20</c:v>
                </c:pt>
                <c:pt idx="41">
                  <c:v>20</c:v>
                </c:pt>
                <c:pt idx="42">
                  <c:v>20.5</c:v>
                </c:pt>
                <c:pt idx="43">
                  <c:v>20.5</c:v>
                </c:pt>
                <c:pt idx="44">
                  <c:v>20.5</c:v>
                </c:pt>
                <c:pt idx="45">
                  <c:v>21</c:v>
                </c:pt>
                <c:pt idx="46">
                  <c:v>21</c:v>
                </c:pt>
                <c:pt idx="47">
                  <c:v>21</c:v>
                </c:pt>
                <c:pt idx="48">
                  <c:v>21.5</c:v>
                </c:pt>
                <c:pt idx="49">
                  <c:v>21.5</c:v>
                </c:pt>
                <c:pt idx="50">
                  <c:v>21.5</c:v>
                </c:pt>
                <c:pt idx="51">
                  <c:v>22</c:v>
                </c:pt>
                <c:pt idx="52">
                  <c:v>22.5</c:v>
                </c:pt>
                <c:pt idx="53">
                  <c:v>22.5</c:v>
                </c:pt>
                <c:pt idx="54">
                  <c:v>22.5</c:v>
                </c:pt>
                <c:pt idx="55">
                  <c:v>22.5</c:v>
                </c:pt>
                <c:pt idx="56">
                  <c:v>22.5</c:v>
                </c:pt>
                <c:pt idx="57">
                  <c:v>23</c:v>
                </c:pt>
                <c:pt idx="58">
                  <c:v>23</c:v>
                </c:pt>
                <c:pt idx="59">
                  <c:v>23</c:v>
                </c:pt>
                <c:pt idx="60">
                  <c:v>23.5</c:v>
                </c:pt>
                <c:pt idx="61">
                  <c:v>23.5</c:v>
                </c:pt>
                <c:pt idx="62">
                  <c:v>23.5</c:v>
                </c:pt>
                <c:pt idx="63">
                  <c:v>24</c:v>
                </c:pt>
                <c:pt idx="64">
                  <c:v>24</c:v>
                </c:pt>
                <c:pt idx="65">
                  <c:v>24</c:v>
                </c:pt>
                <c:pt idx="66">
                  <c:v>24.5</c:v>
                </c:pt>
                <c:pt idx="67">
                  <c:v>24.5</c:v>
                </c:pt>
                <c:pt idx="68">
                  <c:v>25</c:v>
                </c:pt>
                <c:pt idx="69">
                  <c:v>25</c:v>
                </c:pt>
                <c:pt idx="70">
                  <c:v>25.5</c:v>
                </c:pt>
                <c:pt idx="71">
                  <c:v>25.5</c:v>
                </c:pt>
                <c:pt idx="72">
                  <c:v>25.5</c:v>
                </c:pt>
                <c:pt idx="73">
                  <c:v>25.5</c:v>
                </c:pt>
                <c:pt idx="74">
                  <c:v>26</c:v>
                </c:pt>
                <c:pt idx="75">
                  <c:v>26</c:v>
                </c:pt>
                <c:pt idx="76">
                  <c:v>26</c:v>
                </c:pt>
                <c:pt idx="77">
                  <c:v>26</c:v>
                </c:pt>
                <c:pt idx="78">
                  <c:v>26</c:v>
                </c:pt>
                <c:pt idx="79">
                  <c:v>26</c:v>
                </c:pt>
                <c:pt idx="80">
                  <c:v>26</c:v>
                </c:pt>
                <c:pt idx="81">
                  <c:v>18.5</c:v>
                </c:pt>
                <c:pt idx="82">
                  <c:v>18.5</c:v>
                </c:pt>
                <c:pt idx="83">
                  <c:v>18.5</c:v>
                </c:pt>
                <c:pt idx="84">
                  <c:v>18.5</c:v>
                </c:pt>
                <c:pt idx="85">
                  <c:v>18.5</c:v>
                </c:pt>
                <c:pt idx="86">
                  <c:v>18.5</c:v>
                </c:pt>
                <c:pt idx="87">
                  <c:v>18.5</c:v>
                </c:pt>
                <c:pt idx="88">
                  <c:v>19</c:v>
                </c:pt>
                <c:pt idx="89">
                  <c:v>19</c:v>
                </c:pt>
                <c:pt idx="90">
                  <c:v>19</c:v>
                </c:pt>
                <c:pt idx="91">
                  <c:v>19</c:v>
                </c:pt>
                <c:pt idx="92">
                  <c:v>19</c:v>
                </c:pt>
                <c:pt idx="93">
                  <c:v>19</c:v>
                </c:pt>
                <c:pt idx="94">
                  <c:v>19</c:v>
                </c:pt>
                <c:pt idx="95">
                  <c:v>19</c:v>
                </c:pt>
                <c:pt idx="96">
                  <c:v>19.5</c:v>
                </c:pt>
                <c:pt idx="97">
                  <c:v>19.5</c:v>
                </c:pt>
                <c:pt idx="98">
                  <c:v>19</c:v>
                </c:pt>
                <c:pt idx="99">
                  <c:v>19</c:v>
                </c:pt>
                <c:pt idx="100">
                  <c:v>19.5</c:v>
                </c:pt>
                <c:pt idx="101">
                  <c:v>19.5</c:v>
                </c:pt>
                <c:pt idx="102">
                  <c:v>19.5</c:v>
                </c:pt>
                <c:pt idx="103">
                  <c:v>19.5</c:v>
                </c:pt>
                <c:pt idx="104">
                  <c:v>19.5</c:v>
                </c:pt>
                <c:pt idx="105">
                  <c:v>19.5</c:v>
                </c:pt>
                <c:pt idx="106">
                  <c:v>19.5</c:v>
                </c:pt>
                <c:pt idx="107">
                  <c:v>19.5</c:v>
                </c:pt>
                <c:pt idx="108">
                  <c:v>19.5</c:v>
                </c:pt>
                <c:pt idx="109">
                  <c:v>19.5</c:v>
                </c:pt>
                <c:pt idx="110">
                  <c:v>20</c:v>
                </c:pt>
                <c:pt idx="111">
                  <c:v>20</c:v>
                </c:pt>
                <c:pt idx="112">
                  <c:v>20</c:v>
                </c:pt>
                <c:pt idx="113">
                  <c:v>20</c:v>
                </c:pt>
                <c:pt idx="114">
                  <c:v>20</c:v>
                </c:pt>
                <c:pt idx="115">
                  <c:v>20</c:v>
                </c:pt>
                <c:pt idx="116">
                  <c:v>20</c:v>
                </c:pt>
                <c:pt idx="117">
                  <c:v>20</c:v>
                </c:pt>
                <c:pt idx="118">
                  <c:v>20</c:v>
                </c:pt>
                <c:pt idx="119">
                  <c:v>20</c:v>
                </c:pt>
                <c:pt idx="120">
                  <c:v>20</c:v>
                </c:pt>
                <c:pt idx="121">
                  <c:v>20</c:v>
                </c:pt>
                <c:pt idx="122">
                  <c:v>20.5</c:v>
                </c:pt>
                <c:pt idx="123">
                  <c:v>20.5</c:v>
                </c:pt>
                <c:pt idx="124">
                  <c:v>20.5</c:v>
                </c:pt>
                <c:pt idx="125">
                  <c:v>20.5</c:v>
                </c:pt>
                <c:pt idx="126">
                  <c:v>20.5</c:v>
                </c:pt>
                <c:pt idx="127">
                  <c:v>20.5</c:v>
                </c:pt>
                <c:pt idx="128">
                  <c:v>20.5</c:v>
                </c:pt>
                <c:pt idx="129">
                  <c:v>20.5</c:v>
                </c:pt>
                <c:pt idx="130">
                  <c:v>21</c:v>
                </c:pt>
                <c:pt idx="131">
                  <c:v>21</c:v>
                </c:pt>
                <c:pt idx="132">
                  <c:v>21</c:v>
                </c:pt>
                <c:pt idx="133">
                  <c:v>21</c:v>
                </c:pt>
                <c:pt idx="134">
                  <c:v>21</c:v>
                </c:pt>
                <c:pt idx="135">
                  <c:v>21</c:v>
                </c:pt>
                <c:pt idx="136">
                  <c:v>21</c:v>
                </c:pt>
                <c:pt idx="137">
                  <c:v>21</c:v>
                </c:pt>
                <c:pt idx="138">
                  <c:v>21</c:v>
                </c:pt>
                <c:pt idx="139">
                  <c:v>21</c:v>
                </c:pt>
                <c:pt idx="140">
                  <c:v>21</c:v>
                </c:pt>
                <c:pt idx="141">
                  <c:v>21</c:v>
                </c:pt>
                <c:pt idx="142">
                  <c:v>21</c:v>
                </c:pt>
                <c:pt idx="143">
                  <c:v>21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AD7-4A18-9E5C-475930EA9D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884655"/>
        <c:axId val="1"/>
      </c:scatterChart>
      <c:valAx>
        <c:axId val="104688465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Posição dos bocais </a:t>
                </a:r>
              </a:p>
            </c:rich>
          </c:tx>
          <c:layout>
            <c:manualLayout>
              <c:xMode val="edge"/>
              <c:yMode val="edge"/>
              <c:x val="0.44632006046712519"/>
              <c:y val="0.87755805460785008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Diâmetro dos bocais</a:t>
                </a:r>
              </a:p>
            </c:rich>
          </c:tx>
          <c:layout>
            <c:manualLayout>
              <c:xMode val="edge"/>
              <c:yMode val="edge"/>
              <c:x val="5.2691742250573111E-3"/>
              <c:y val="0.31306733100547945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104688465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2541571148543141"/>
          <c:y val="0.94282083862770016"/>
          <c:w val="0.67616791670819631"/>
          <c:h val="0.98602287166454894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+mn-lt"/>
          <a:cs typeface="Times New Roman" panose="02020603050405020304" pitchFamily="18" charset="0"/>
        </a:defRPr>
      </a:pPr>
      <a:endParaRPr lang="pt-BR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8.2520403787088983E-2"/>
          <c:y val="2.6060406373052E-2"/>
          <c:w val="0.89096486801626928"/>
          <c:h val="0.81659069988060973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'Hidro dados'!$D$1</c:f>
              <c:strCache>
                <c:ptCount val="1"/>
                <c:pt idx="0">
                  <c:v>Vazão lida (m3/h)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'Hidro dados'!$A$2:$A$146</c:f>
              <c:numCache>
                <c:formatCode>#,##0</c:formatCode>
                <c:ptCount val="145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  <c:pt idx="144">
                  <c:v>145</c:v>
                </c:pt>
              </c:numCache>
            </c:numRef>
          </c:xVal>
          <c:yVal>
            <c:numRef>
              <c:f>'Hidro dados'!$D$2:$D$145</c:f>
              <c:numCache>
                <c:formatCode>0.00</c:formatCode>
                <c:ptCount val="144"/>
                <c:pt idx="0">
                  <c:v>0.35328753680078506</c:v>
                </c:pt>
                <c:pt idx="1">
                  <c:v>0.51973051010587101</c:v>
                </c:pt>
                <c:pt idx="2">
                  <c:v>0.67522211253701869</c:v>
                </c:pt>
                <c:pt idx="3">
                  <c:v>0.80232558139534882</c:v>
                </c:pt>
                <c:pt idx="4">
                  <c:v>0.92441860465116288</c:v>
                </c:pt>
                <c:pt idx="5">
                  <c:v>1.1337209302325582</c:v>
                </c:pt>
                <c:pt idx="6">
                  <c:v>1.0701754385964912</c:v>
                </c:pt>
                <c:pt idx="7">
                  <c:v>1.4282982791587</c:v>
                </c:pt>
                <c:pt idx="8">
                  <c:v>1.7224880382775123</c:v>
                </c:pt>
                <c:pt idx="9">
                  <c:v>1.6858536585365853</c:v>
                </c:pt>
                <c:pt idx="10">
                  <c:v>1.3591481122942886</c:v>
                </c:pt>
                <c:pt idx="11">
                  <c:v>2.1998060135790491</c:v>
                </c:pt>
                <c:pt idx="12">
                  <c:v>2.5860113421550093</c:v>
                </c:pt>
                <c:pt idx="13">
                  <c:v>2.9391304347826086</c:v>
                </c:pt>
                <c:pt idx="14">
                  <c:v>3.0029268292682931</c:v>
                </c:pt>
                <c:pt idx="15">
                  <c:v>3.0857142857142854</c:v>
                </c:pt>
                <c:pt idx="16">
                  <c:v>2.7203140333660456</c:v>
                </c:pt>
                <c:pt idx="17">
                  <c:v>1.5458015267175571</c:v>
                </c:pt>
                <c:pt idx="18">
                  <c:v>1.5667311411992264</c:v>
                </c:pt>
                <c:pt idx="19">
                  <c:v>1.7950594693504118</c:v>
                </c:pt>
                <c:pt idx="20">
                  <c:v>1.7396449704142014</c:v>
                </c:pt>
                <c:pt idx="21">
                  <c:v>1.9411764705882357</c:v>
                </c:pt>
                <c:pt idx="22">
                  <c:v>1.6475170399221033</c:v>
                </c:pt>
                <c:pt idx="23">
                  <c:v>1.8322337417530636</c:v>
                </c:pt>
                <c:pt idx="24">
                  <c:v>1.7629774730656218</c:v>
                </c:pt>
                <c:pt idx="25">
                  <c:v>2.1926345609065154</c:v>
                </c:pt>
                <c:pt idx="26">
                  <c:v>2.1634615384615383</c:v>
                </c:pt>
                <c:pt idx="27">
                  <c:v>2.2026768642447419</c:v>
                </c:pt>
                <c:pt idx="28">
                  <c:v>2.2390670553935865</c:v>
                </c:pt>
                <c:pt idx="29">
                  <c:v>2.2975047984644918</c:v>
                </c:pt>
                <c:pt idx="30">
                  <c:v>2.2180094786729856</c:v>
                </c:pt>
                <c:pt idx="31">
                  <c:v>2.3688760806916425</c:v>
                </c:pt>
                <c:pt idx="32">
                  <c:v>2.5590778097982709</c:v>
                </c:pt>
                <c:pt idx="33">
                  <c:v>2.5263157894736845</c:v>
                </c:pt>
                <c:pt idx="34">
                  <c:v>2.5120307988450432</c:v>
                </c:pt>
                <c:pt idx="35">
                  <c:v>2.4186471663619744</c:v>
                </c:pt>
                <c:pt idx="36">
                  <c:v>2.6341463414634148</c:v>
                </c:pt>
                <c:pt idx="37">
                  <c:v>2.5836501901140685</c:v>
                </c:pt>
                <c:pt idx="38">
                  <c:v>2.4976076555023927</c:v>
                </c:pt>
                <c:pt idx="39">
                  <c:v>2.5320574162679428</c:v>
                </c:pt>
                <c:pt idx="40">
                  <c:v>2.8538681948424069</c:v>
                </c:pt>
                <c:pt idx="41">
                  <c:v>2.676835081029552</c:v>
                </c:pt>
                <c:pt idx="42">
                  <c:v>2.823869104908566</c:v>
                </c:pt>
                <c:pt idx="43">
                  <c:v>2.8036866359447004</c:v>
                </c:pt>
                <c:pt idx="44">
                  <c:v>2.7996183206106871</c:v>
                </c:pt>
                <c:pt idx="45">
                  <c:v>3.0907317073170737</c:v>
                </c:pt>
                <c:pt idx="46">
                  <c:v>2.91796875</c:v>
                </c:pt>
                <c:pt idx="47">
                  <c:v>2.9226361031518624</c:v>
                </c:pt>
                <c:pt idx="48">
                  <c:v>3.0969581749049433</c:v>
                </c:pt>
                <c:pt idx="49">
                  <c:v>3.046153846153846</c:v>
                </c:pt>
                <c:pt idx="50">
                  <c:v>3.3781990521327012</c:v>
                </c:pt>
                <c:pt idx="51">
                  <c:v>3.1907514450867049</c:v>
                </c:pt>
                <c:pt idx="52">
                  <c:v>3.4648700673724733</c:v>
                </c:pt>
                <c:pt idx="53">
                  <c:v>3.4319066147859929</c:v>
                </c:pt>
                <c:pt idx="54">
                  <c:v>3.3675213675213675</c:v>
                </c:pt>
                <c:pt idx="55">
                  <c:v>2.9221902017291064</c:v>
                </c:pt>
                <c:pt idx="56">
                  <c:v>2.979788257940327</c:v>
                </c:pt>
                <c:pt idx="57">
                  <c:v>3.1304347826086958</c:v>
                </c:pt>
                <c:pt idx="58">
                  <c:v>2.9273959341723135</c:v>
                </c:pt>
                <c:pt idx="59">
                  <c:v>3.3455953533397871</c:v>
                </c:pt>
                <c:pt idx="60">
                  <c:v>3.2272291466922338</c:v>
                </c:pt>
                <c:pt idx="61">
                  <c:v>3.1996197718631181</c:v>
                </c:pt>
                <c:pt idx="62">
                  <c:v>3.4434782608695653</c:v>
                </c:pt>
                <c:pt idx="63">
                  <c:v>3.3639921722113502</c:v>
                </c:pt>
                <c:pt idx="64">
                  <c:v>3.4188034188034191</c:v>
                </c:pt>
                <c:pt idx="65">
                  <c:v>3.3198847262247839</c:v>
                </c:pt>
                <c:pt idx="66">
                  <c:v>3.3230769230769228</c:v>
                </c:pt>
                <c:pt idx="67">
                  <c:v>4.0701754385964914</c:v>
                </c:pt>
                <c:pt idx="68">
                  <c:v>3.307177033492823</c:v>
                </c:pt>
                <c:pt idx="69">
                  <c:v>3.6883852691218126</c:v>
                </c:pt>
                <c:pt idx="70">
                  <c:v>4.1484375</c:v>
                </c:pt>
                <c:pt idx="71">
                  <c:v>3.5053554040895811</c:v>
                </c:pt>
                <c:pt idx="72">
                  <c:v>3.3935860058309042</c:v>
                </c:pt>
                <c:pt idx="73">
                  <c:v>3.4860977948226268</c:v>
                </c:pt>
                <c:pt idx="74">
                  <c:v>3.5381679389312977</c:v>
                </c:pt>
                <c:pt idx="75">
                  <c:v>2.8826815642458099</c:v>
                </c:pt>
                <c:pt idx="76">
                  <c:v>3.1633237822349565</c:v>
                </c:pt>
                <c:pt idx="77">
                  <c:v>3.1052132701421797</c:v>
                </c:pt>
                <c:pt idx="78">
                  <c:v>2.898876404494382</c:v>
                </c:pt>
                <c:pt idx="79">
                  <c:v>2.4452830188679249</c:v>
                </c:pt>
                <c:pt idx="80">
                  <c:v>2.2824207492795385</c:v>
                </c:pt>
                <c:pt idx="81">
                  <c:v>1.8068833652007648</c:v>
                </c:pt>
                <c:pt idx="82">
                  <c:v>1.7192982456140353</c:v>
                </c:pt>
                <c:pt idx="83">
                  <c:v>1.9420579420579422</c:v>
                </c:pt>
                <c:pt idx="84">
                  <c:v>1.8803418803418805</c:v>
                </c:pt>
                <c:pt idx="85">
                  <c:v>2.1186602870813402</c:v>
                </c:pt>
                <c:pt idx="86">
                  <c:v>2.238894373149062</c:v>
                </c:pt>
                <c:pt idx="87">
                  <c:v>2.1125954198473287</c:v>
                </c:pt>
                <c:pt idx="88">
                  <c:v>2.1432720232333011</c:v>
                </c:pt>
                <c:pt idx="89">
                  <c:v>1.9864472410454987</c:v>
                </c:pt>
                <c:pt idx="90">
                  <c:v>2.1984732824427482</c:v>
                </c:pt>
                <c:pt idx="91">
                  <c:v>1.4883268482490273</c:v>
                </c:pt>
                <c:pt idx="92">
                  <c:v>1.7719298245614035</c:v>
                </c:pt>
                <c:pt idx="93">
                  <c:v>1.8104448742746615</c:v>
                </c:pt>
                <c:pt idx="94">
                  <c:v>1.8798029556650244</c:v>
                </c:pt>
                <c:pt idx="95">
                  <c:v>2.1217391304347823</c:v>
                </c:pt>
                <c:pt idx="96">
                  <c:v>2.1712062256809341</c:v>
                </c:pt>
                <c:pt idx="97">
                  <c:v>1.9598853868194843</c:v>
                </c:pt>
                <c:pt idx="98">
                  <c:v>1.8334965719882468</c:v>
                </c:pt>
                <c:pt idx="99">
                  <c:v>1.7595307917888561</c:v>
                </c:pt>
                <c:pt idx="100">
                  <c:v>2.1727183513248285</c:v>
                </c:pt>
                <c:pt idx="101">
                  <c:v>1.7509727626459146</c:v>
                </c:pt>
                <c:pt idx="102">
                  <c:v>1.8853754940711462</c:v>
                </c:pt>
                <c:pt idx="103">
                  <c:v>2.0417910447761192</c:v>
                </c:pt>
                <c:pt idx="104">
                  <c:v>2.1699604743083003</c:v>
                </c:pt>
                <c:pt idx="105">
                  <c:v>2</c:v>
                </c:pt>
                <c:pt idx="106">
                  <c:v>2.0612043435340572</c:v>
                </c:pt>
                <c:pt idx="107">
                  <c:v>2.0612043435340572</c:v>
                </c:pt>
                <c:pt idx="108">
                  <c:v>2.1606969990319458</c:v>
                </c:pt>
                <c:pt idx="109">
                  <c:v>2.2564102564102564</c:v>
                </c:pt>
                <c:pt idx="110">
                  <c:v>1.6924583741429968</c:v>
                </c:pt>
                <c:pt idx="111">
                  <c:v>2.2918707149853081</c:v>
                </c:pt>
                <c:pt idx="112">
                  <c:v>2.2239382239382244</c:v>
                </c:pt>
                <c:pt idx="113">
                  <c:v>1.8705882352941179</c:v>
                </c:pt>
                <c:pt idx="114">
                  <c:v>1.9572815533980583</c:v>
                </c:pt>
                <c:pt idx="115">
                  <c:v>1.9130434782608696</c:v>
                </c:pt>
                <c:pt idx="116">
                  <c:v>2.2941176470588238</c:v>
                </c:pt>
                <c:pt idx="117">
                  <c:v>2.3112840466926072</c:v>
                </c:pt>
                <c:pt idx="118">
                  <c:v>2.4163424124513622</c:v>
                </c:pt>
                <c:pt idx="119">
                  <c:v>2.4347826086956523</c:v>
                </c:pt>
                <c:pt idx="120">
                  <c:v>2.1786743515850144</c:v>
                </c:pt>
                <c:pt idx="121">
                  <c:v>2.1502890173410405</c:v>
                </c:pt>
                <c:pt idx="122">
                  <c:v>2.1518026565464896</c:v>
                </c:pt>
                <c:pt idx="123">
                  <c:v>2.5043478260869567</c:v>
                </c:pt>
                <c:pt idx="124">
                  <c:v>2.3815915627996165</c:v>
                </c:pt>
                <c:pt idx="125">
                  <c:v>2.4116504854368932</c:v>
                </c:pt>
                <c:pt idx="126">
                  <c:v>2.165680473372781</c:v>
                </c:pt>
                <c:pt idx="127">
                  <c:v>2.2982456140350878</c:v>
                </c:pt>
                <c:pt idx="128">
                  <c:v>2.5438596491228069</c:v>
                </c:pt>
                <c:pt idx="129">
                  <c:v>2.5739299610894943</c:v>
                </c:pt>
                <c:pt idx="130">
                  <c:v>2.4923076923076923</c:v>
                </c:pt>
                <c:pt idx="131">
                  <c:v>2.5714285714285716</c:v>
                </c:pt>
                <c:pt idx="132">
                  <c:v>2.4139941690962101</c:v>
                </c:pt>
                <c:pt idx="133">
                  <c:v>2.2982456140350878</c:v>
                </c:pt>
                <c:pt idx="134">
                  <c:v>2.3085824493731923</c:v>
                </c:pt>
                <c:pt idx="135">
                  <c:v>2.4688715953307394</c:v>
                </c:pt>
                <c:pt idx="136">
                  <c:v>2.6058981233243972</c:v>
                </c:pt>
                <c:pt idx="137">
                  <c:v>2.5440464666021296</c:v>
                </c:pt>
                <c:pt idx="138">
                  <c:v>2.327130264446621</c:v>
                </c:pt>
                <c:pt idx="139">
                  <c:v>1.9420579420579422</c:v>
                </c:pt>
                <c:pt idx="140">
                  <c:v>2.2237354085603114</c:v>
                </c:pt>
                <c:pt idx="141">
                  <c:v>1.9075144508670518</c:v>
                </c:pt>
                <c:pt idx="142">
                  <c:v>2.4797687861271673</c:v>
                </c:pt>
                <c:pt idx="143">
                  <c:v>1.7320754716981133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4F3-4FD3-9809-C457CBD0FE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895215"/>
        <c:axId val="1"/>
      </c:scatterChart>
      <c:valAx>
        <c:axId val="1046895215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Posição dos bocais</a:t>
                </a:r>
              </a:p>
            </c:rich>
          </c:tx>
          <c:layout>
            <c:manualLayout>
              <c:xMode val="edge"/>
              <c:yMode val="edge"/>
              <c:x val="0.4667523215056979"/>
              <c:y val="0.89867917049708879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pt-BR"/>
                  <a:t>Vazão lida no ensaio (m</a:t>
                </a:r>
                <a:r>
                  <a:rPr lang="pt-BR" baseline="30000"/>
                  <a:t>3</a:t>
                </a:r>
                <a:r>
                  <a:rPr lang="pt-BR"/>
                  <a:t>/h)</a:t>
                </a:r>
              </a:p>
            </c:rich>
          </c:tx>
          <c:layout>
            <c:manualLayout>
              <c:xMode val="edge"/>
              <c:yMode val="edge"/>
              <c:x val="3.9501935280241872E-3"/>
              <c:y val="0.34937031189629214"/>
            </c:manualLayout>
          </c:layout>
          <c:overlay val="0"/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1046895215"/>
        <c:crosses val="autoZero"/>
        <c:crossBetween val="midCat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latin typeface="+mn-lt"/>
          <a:cs typeface="Times New Roman" panose="02020603050405020304" pitchFamily="18" charset="0"/>
        </a:defRPr>
      </a:pPr>
      <a:endParaRPr lang="pt-BR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2520403787088983E-2"/>
          <c:y val="2.6060406373052E-2"/>
          <c:w val="0.87369092583121055"/>
          <c:h val="0.81447627204062101"/>
        </c:manualLayout>
      </c:layout>
      <c:scatterChart>
        <c:scatterStyle val="smoothMarker"/>
        <c:varyColors val="0"/>
        <c:ser>
          <c:idx val="0"/>
          <c:order val="0"/>
          <c:tx>
            <c:strRef>
              <c:f>'Hidro dados'!$K$2</c:f>
              <c:strCache>
                <c:ptCount val="1"/>
                <c:pt idx="0">
                  <c:v>Vazão lida (m3/h) 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'Hidro dados'!$J$3:$J$146</c:f>
              <c:numCache>
                <c:formatCode>0.00</c:formatCode>
                <c:ptCount val="1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</c:numCache>
            </c:numRef>
          </c:xVal>
          <c:yVal>
            <c:numRef>
              <c:f>'Hidro dados'!$K$3:$K$146</c:f>
              <c:numCache>
                <c:formatCode>0.00</c:formatCode>
                <c:ptCount val="144"/>
                <c:pt idx="0">
                  <c:v>0.35328753680078506</c:v>
                </c:pt>
                <c:pt idx="1">
                  <c:v>0.51973051010587101</c:v>
                </c:pt>
                <c:pt idx="2">
                  <c:v>0.67522211253701869</c:v>
                </c:pt>
                <c:pt idx="3">
                  <c:v>0.80232558139534882</c:v>
                </c:pt>
                <c:pt idx="4">
                  <c:v>0.92441860465116288</c:v>
                </c:pt>
                <c:pt idx="5">
                  <c:v>1.0701754385964912</c:v>
                </c:pt>
                <c:pt idx="6">
                  <c:v>1.1337209302325582</c:v>
                </c:pt>
                <c:pt idx="7">
                  <c:v>1.3591481122942886</c:v>
                </c:pt>
                <c:pt idx="8">
                  <c:v>1.4282982791587</c:v>
                </c:pt>
                <c:pt idx="9">
                  <c:v>1.4883268482490273</c:v>
                </c:pt>
                <c:pt idx="10">
                  <c:v>1.5458015267175571</c:v>
                </c:pt>
                <c:pt idx="11">
                  <c:v>1.5667311411992264</c:v>
                </c:pt>
                <c:pt idx="12">
                  <c:v>1.6475170399221033</c:v>
                </c:pt>
                <c:pt idx="13">
                  <c:v>1.6858536585365853</c:v>
                </c:pt>
                <c:pt idx="14">
                  <c:v>1.6924583741429968</c:v>
                </c:pt>
                <c:pt idx="15">
                  <c:v>1.7192982456140353</c:v>
                </c:pt>
                <c:pt idx="16">
                  <c:v>1.7224880382775123</c:v>
                </c:pt>
                <c:pt idx="17">
                  <c:v>1.7320754716981133</c:v>
                </c:pt>
                <c:pt idx="18">
                  <c:v>1.7396449704142014</c:v>
                </c:pt>
                <c:pt idx="19">
                  <c:v>1.7509727626459146</c:v>
                </c:pt>
                <c:pt idx="20">
                  <c:v>1.7595307917888561</c:v>
                </c:pt>
                <c:pt idx="21">
                  <c:v>1.7629774730656218</c:v>
                </c:pt>
                <c:pt idx="22">
                  <c:v>1.7719298245614035</c:v>
                </c:pt>
                <c:pt idx="23">
                  <c:v>1.7950594693504118</c:v>
                </c:pt>
                <c:pt idx="24">
                  <c:v>1.8068833652007648</c:v>
                </c:pt>
                <c:pt idx="25">
                  <c:v>1.8104448742746615</c:v>
                </c:pt>
                <c:pt idx="26">
                  <c:v>1.8322337417530636</c:v>
                </c:pt>
                <c:pt idx="27">
                  <c:v>1.8334965719882468</c:v>
                </c:pt>
                <c:pt idx="28">
                  <c:v>1.8705882352941179</c:v>
                </c:pt>
                <c:pt idx="29">
                  <c:v>1.8798029556650244</c:v>
                </c:pt>
                <c:pt idx="30">
                  <c:v>1.8803418803418805</c:v>
                </c:pt>
                <c:pt idx="31">
                  <c:v>1.8853754940711462</c:v>
                </c:pt>
                <c:pt idx="32">
                  <c:v>1.9075144508670518</c:v>
                </c:pt>
                <c:pt idx="33">
                  <c:v>1.9130434782608696</c:v>
                </c:pt>
                <c:pt idx="34">
                  <c:v>1.9411764705882357</c:v>
                </c:pt>
                <c:pt idx="35">
                  <c:v>1.9420579420579422</c:v>
                </c:pt>
                <c:pt idx="36">
                  <c:v>1.9420579420579422</c:v>
                </c:pt>
                <c:pt idx="37">
                  <c:v>1.9572815533980583</c:v>
                </c:pt>
                <c:pt idx="38">
                  <c:v>1.9598853868194843</c:v>
                </c:pt>
                <c:pt idx="39">
                  <c:v>1.9864472410454987</c:v>
                </c:pt>
                <c:pt idx="40">
                  <c:v>2</c:v>
                </c:pt>
                <c:pt idx="41">
                  <c:v>2.0417910447761192</c:v>
                </c:pt>
                <c:pt idx="42">
                  <c:v>2.0612043435340572</c:v>
                </c:pt>
                <c:pt idx="43">
                  <c:v>2.0612043435340572</c:v>
                </c:pt>
                <c:pt idx="44">
                  <c:v>2.1125954198473287</c:v>
                </c:pt>
                <c:pt idx="45">
                  <c:v>2.1186602870813402</c:v>
                </c:pt>
                <c:pt idx="46">
                  <c:v>2.1217391304347823</c:v>
                </c:pt>
                <c:pt idx="47">
                  <c:v>2.1432720232333011</c:v>
                </c:pt>
                <c:pt idx="48">
                  <c:v>2.1502890173410405</c:v>
                </c:pt>
                <c:pt idx="49">
                  <c:v>2.1518026565464896</c:v>
                </c:pt>
                <c:pt idx="50">
                  <c:v>2.1606969990319458</c:v>
                </c:pt>
                <c:pt idx="51">
                  <c:v>2.1634615384615383</c:v>
                </c:pt>
                <c:pt idx="52">
                  <c:v>2.165680473372781</c:v>
                </c:pt>
                <c:pt idx="53">
                  <c:v>2.1699604743083003</c:v>
                </c:pt>
                <c:pt idx="54">
                  <c:v>2.1712062256809341</c:v>
                </c:pt>
                <c:pt idx="55">
                  <c:v>2.1727183513248285</c:v>
                </c:pt>
                <c:pt idx="56">
                  <c:v>2.1786743515850144</c:v>
                </c:pt>
                <c:pt idx="57">
                  <c:v>2.1926345609065154</c:v>
                </c:pt>
                <c:pt idx="58">
                  <c:v>2.1984732824427482</c:v>
                </c:pt>
                <c:pt idx="59">
                  <c:v>2.1998060135790491</c:v>
                </c:pt>
                <c:pt idx="60">
                  <c:v>2.2026768642447419</c:v>
                </c:pt>
                <c:pt idx="61">
                  <c:v>2.2180094786729856</c:v>
                </c:pt>
                <c:pt idx="62">
                  <c:v>2.2237354085603114</c:v>
                </c:pt>
                <c:pt idx="63">
                  <c:v>2.2239382239382244</c:v>
                </c:pt>
                <c:pt idx="64">
                  <c:v>2.238894373149062</c:v>
                </c:pt>
                <c:pt idx="65">
                  <c:v>2.2390670553935865</c:v>
                </c:pt>
                <c:pt idx="66">
                  <c:v>2.2564102564102564</c:v>
                </c:pt>
                <c:pt idx="67">
                  <c:v>2.2824207492795385</c:v>
                </c:pt>
                <c:pt idx="68">
                  <c:v>2.2918707149853081</c:v>
                </c:pt>
                <c:pt idx="69">
                  <c:v>2.2941176470588238</c:v>
                </c:pt>
                <c:pt idx="70">
                  <c:v>2.2975047984644918</c:v>
                </c:pt>
                <c:pt idx="71">
                  <c:v>2.2982456140350878</c:v>
                </c:pt>
                <c:pt idx="72">
                  <c:v>2.2982456140350878</c:v>
                </c:pt>
                <c:pt idx="73">
                  <c:v>2.3085824493731923</c:v>
                </c:pt>
                <c:pt idx="74">
                  <c:v>2.3112840466926072</c:v>
                </c:pt>
                <c:pt idx="75">
                  <c:v>2.327130264446621</c:v>
                </c:pt>
                <c:pt idx="76">
                  <c:v>2.3688760806916425</c:v>
                </c:pt>
                <c:pt idx="77">
                  <c:v>2.3815915627996165</c:v>
                </c:pt>
                <c:pt idx="78">
                  <c:v>2.4116504854368932</c:v>
                </c:pt>
                <c:pt idx="79">
                  <c:v>2.4139941690962101</c:v>
                </c:pt>
                <c:pt idx="80">
                  <c:v>2.4163424124513622</c:v>
                </c:pt>
                <c:pt idx="81">
                  <c:v>2.4186471663619744</c:v>
                </c:pt>
                <c:pt idx="82">
                  <c:v>2.4347826086956523</c:v>
                </c:pt>
                <c:pt idx="83">
                  <c:v>2.4452830188679249</c:v>
                </c:pt>
                <c:pt idx="84">
                  <c:v>2.4688715953307394</c:v>
                </c:pt>
                <c:pt idx="85">
                  <c:v>2.4797687861271673</c:v>
                </c:pt>
                <c:pt idx="86">
                  <c:v>2.4923076923076923</c:v>
                </c:pt>
                <c:pt idx="87">
                  <c:v>2.4976076555023927</c:v>
                </c:pt>
                <c:pt idx="88">
                  <c:v>2.5043478260869567</c:v>
                </c:pt>
                <c:pt idx="89">
                  <c:v>2.5120307988450432</c:v>
                </c:pt>
                <c:pt idx="90">
                  <c:v>2.5263157894736845</c:v>
                </c:pt>
                <c:pt idx="91">
                  <c:v>2.5320574162679428</c:v>
                </c:pt>
                <c:pt idx="92">
                  <c:v>2.5438596491228069</c:v>
                </c:pt>
                <c:pt idx="93">
                  <c:v>2.5440464666021296</c:v>
                </c:pt>
                <c:pt idx="94">
                  <c:v>2.5590778097982709</c:v>
                </c:pt>
                <c:pt idx="95">
                  <c:v>2.5714285714285716</c:v>
                </c:pt>
                <c:pt idx="96">
                  <c:v>2.5739299610894943</c:v>
                </c:pt>
                <c:pt idx="97">
                  <c:v>2.5836501901140685</c:v>
                </c:pt>
                <c:pt idx="98">
                  <c:v>2.5860113421550093</c:v>
                </c:pt>
                <c:pt idx="99">
                  <c:v>2.6058981233243972</c:v>
                </c:pt>
                <c:pt idx="100">
                  <c:v>2.6341463414634148</c:v>
                </c:pt>
                <c:pt idx="101">
                  <c:v>2.676835081029552</c:v>
                </c:pt>
                <c:pt idx="102">
                  <c:v>2.7203140333660456</c:v>
                </c:pt>
                <c:pt idx="103">
                  <c:v>2.7996183206106871</c:v>
                </c:pt>
                <c:pt idx="104">
                  <c:v>2.8036866359447004</c:v>
                </c:pt>
                <c:pt idx="105">
                  <c:v>2.823869104908566</c:v>
                </c:pt>
                <c:pt idx="106">
                  <c:v>2.8538681948424069</c:v>
                </c:pt>
                <c:pt idx="107">
                  <c:v>2.8826815642458099</c:v>
                </c:pt>
                <c:pt idx="108">
                  <c:v>2.898876404494382</c:v>
                </c:pt>
                <c:pt idx="109">
                  <c:v>2.91796875</c:v>
                </c:pt>
                <c:pt idx="110">
                  <c:v>2.9221902017291064</c:v>
                </c:pt>
                <c:pt idx="111">
                  <c:v>2.9226361031518624</c:v>
                </c:pt>
                <c:pt idx="112">
                  <c:v>2.9273959341723135</c:v>
                </c:pt>
                <c:pt idx="113">
                  <c:v>2.9391304347826086</c:v>
                </c:pt>
                <c:pt idx="114">
                  <c:v>2.979788257940327</c:v>
                </c:pt>
                <c:pt idx="115">
                  <c:v>3.0029268292682931</c:v>
                </c:pt>
                <c:pt idx="116">
                  <c:v>3.046153846153846</c:v>
                </c:pt>
                <c:pt idx="117">
                  <c:v>3.0857142857142854</c:v>
                </c:pt>
                <c:pt idx="118">
                  <c:v>3.0907317073170737</c:v>
                </c:pt>
                <c:pt idx="119">
                  <c:v>3.0969581749049433</c:v>
                </c:pt>
                <c:pt idx="120">
                  <c:v>3.1052132701421797</c:v>
                </c:pt>
                <c:pt idx="121">
                  <c:v>3.1304347826086958</c:v>
                </c:pt>
                <c:pt idx="122">
                  <c:v>3.1633237822349565</c:v>
                </c:pt>
                <c:pt idx="123">
                  <c:v>3.1907514450867049</c:v>
                </c:pt>
                <c:pt idx="124">
                  <c:v>3.1996197718631181</c:v>
                </c:pt>
                <c:pt idx="125">
                  <c:v>3.2272291466922338</c:v>
                </c:pt>
                <c:pt idx="126">
                  <c:v>3.307177033492823</c:v>
                </c:pt>
                <c:pt idx="127">
                  <c:v>3.3198847262247839</c:v>
                </c:pt>
                <c:pt idx="128">
                  <c:v>3.3230769230769228</c:v>
                </c:pt>
                <c:pt idx="129">
                  <c:v>3.3455953533397871</c:v>
                </c:pt>
                <c:pt idx="130">
                  <c:v>3.3639921722113502</c:v>
                </c:pt>
                <c:pt idx="131">
                  <c:v>3.3675213675213675</c:v>
                </c:pt>
                <c:pt idx="132">
                  <c:v>3.3781990521327012</c:v>
                </c:pt>
                <c:pt idx="133">
                  <c:v>3.3935860058309042</c:v>
                </c:pt>
                <c:pt idx="134">
                  <c:v>3.4188034188034191</c:v>
                </c:pt>
                <c:pt idx="135">
                  <c:v>3.4319066147859929</c:v>
                </c:pt>
                <c:pt idx="136">
                  <c:v>3.4434782608695653</c:v>
                </c:pt>
                <c:pt idx="137">
                  <c:v>3.4648700673724733</c:v>
                </c:pt>
                <c:pt idx="138">
                  <c:v>3.4860977948226268</c:v>
                </c:pt>
                <c:pt idx="139">
                  <c:v>3.5053554040895811</c:v>
                </c:pt>
                <c:pt idx="140">
                  <c:v>3.5381679389312977</c:v>
                </c:pt>
                <c:pt idx="141">
                  <c:v>3.6883852691218126</c:v>
                </c:pt>
                <c:pt idx="142">
                  <c:v>4.0701754385964914</c:v>
                </c:pt>
                <c:pt idx="143">
                  <c:v>4.1484375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A9-43D6-A6D0-6054C98AF416}"/>
            </c:ext>
          </c:extLst>
        </c:ser>
        <c:ser>
          <c:idx val="1"/>
          <c:order val="1"/>
          <c:tx>
            <c:strRef>
              <c:f>'Hidro dados'!$M$2</c:f>
              <c:strCache>
                <c:ptCount val="1"/>
                <c:pt idx="0">
                  <c:v>Média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'Hidro dados'!$J$3:$J$146</c:f>
              <c:numCache>
                <c:formatCode>0.00</c:formatCode>
                <c:ptCount val="14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  <c:pt idx="52">
                  <c:v>53</c:v>
                </c:pt>
                <c:pt idx="53">
                  <c:v>54</c:v>
                </c:pt>
                <c:pt idx="54">
                  <c:v>55</c:v>
                </c:pt>
                <c:pt idx="55">
                  <c:v>56</c:v>
                </c:pt>
                <c:pt idx="56">
                  <c:v>57</c:v>
                </c:pt>
                <c:pt idx="57">
                  <c:v>58</c:v>
                </c:pt>
                <c:pt idx="58">
                  <c:v>59</c:v>
                </c:pt>
                <c:pt idx="59">
                  <c:v>60</c:v>
                </c:pt>
                <c:pt idx="60">
                  <c:v>61</c:v>
                </c:pt>
                <c:pt idx="61">
                  <c:v>62</c:v>
                </c:pt>
                <c:pt idx="62">
                  <c:v>63</c:v>
                </c:pt>
                <c:pt idx="63">
                  <c:v>64</c:v>
                </c:pt>
                <c:pt idx="64">
                  <c:v>65</c:v>
                </c:pt>
                <c:pt idx="65">
                  <c:v>66</c:v>
                </c:pt>
                <c:pt idx="66">
                  <c:v>67</c:v>
                </c:pt>
                <c:pt idx="67">
                  <c:v>68</c:v>
                </c:pt>
                <c:pt idx="68">
                  <c:v>69</c:v>
                </c:pt>
                <c:pt idx="69">
                  <c:v>70</c:v>
                </c:pt>
                <c:pt idx="70">
                  <c:v>71</c:v>
                </c:pt>
                <c:pt idx="71">
                  <c:v>72</c:v>
                </c:pt>
                <c:pt idx="72">
                  <c:v>73</c:v>
                </c:pt>
                <c:pt idx="73">
                  <c:v>74</c:v>
                </c:pt>
                <c:pt idx="74">
                  <c:v>75</c:v>
                </c:pt>
                <c:pt idx="75">
                  <c:v>76</c:v>
                </c:pt>
                <c:pt idx="76">
                  <c:v>77</c:v>
                </c:pt>
                <c:pt idx="77">
                  <c:v>78</c:v>
                </c:pt>
                <c:pt idx="78">
                  <c:v>79</c:v>
                </c:pt>
                <c:pt idx="79">
                  <c:v>80</c:v>
                </c:pt>
                <c:pt idx="80">
                  <c:v>81</c:v>
                </c:pt>
                <c:pt idx="81">
                  <c:v>82</c:v>
                </c:pt>
                <c:pt idx="82">
                  <c:v>83</c:v>
                </c:pt>
                <c:pt idx="83">
                  <c:v>84</c:v>
                </c:pt>
                <c:pt idx="84">
                  <c:v>85</c:v>
                </c:pt>
                <c:pt idx="85">
                  <c:v>86</c:v>
                </c:pt>
                <c:pt idx="86">
                  <c:v>87</c:v>
                </c:pt>
                <c:pt idx="87">
                  <c:v>88</c:v>
                </c:pt>
                <c:pt idx="88">
                  <c:v>89</c:v>
                </c:pt>
                <c:pt idx="89">
                  <c:v>90</c:v>
                </c:pt>
                <c:pt idx="90">
                  <c:v>91</c:v>
                </c:pt>
                <c:pt idx="91">
                  <c:v>92</c:v>
                </c:pt>
                <c:pt idx="92">
                  <c:v>93</c:v>
                </c:pt>
                <c:pt idx="93">
                  <c:v>94</c:v>
                </c:pt>
                <c:pt idx="94">
                  <c:v>95</c:v>
                </c:pt>
                <c:pt idx="95">
                  <c:v>96</c:v>
                </c:pt>
                <c:pt idx="96">
                  <c:v>97</c:v>
                </c:pt>
                <c:pt idx="97">
                  <c:v>98</c:v>
                </c:pt>
                <c:pt idx="98">
                  <c:v>99</c:v>
                </c:pt>
                <c:pt idx="99">
                  <c:v>100</c:v>
                </c:pt>
                <c:pt idx="100">
                  <c:v>101</c:v>
                </c:pt>
                <c:pt idx="101">
                  <c:v>102</c:v>
                </c:pt>
                <c:pt idx="102">
                  <c:v>103</c:v>
                </c:pt>
                <c:pt idx="103">
                  <c:v>104</c:v>
                </c:pt>
                <c:pt idx="104">
                  <c:v>105</c:v>
                </c:pt>
                <c:pt idx="105">
                  <c:v>106</c:v>
                </c:pt>
                <c:pt idx="106">
                  <c:v>107</c:v>
                </c:pt>
                <c:pt idx="107">
                  <c:v>108</c:v>
                </c:pt>
                <c:pt idx="108">
                  <c:v>109</c:v>
                </c:pt>
                <c:pt idx="109">
                  <c:v>110</c:v>
                </c:pt>
                <c:pt idx="110">
                  <c:v>111</c:v>
                </c:pt>
                <c:pt idx="111">
                  <c:v>112</c:v>
                </c:pt>
                <c:pt idx="112">
                  <c:v>113</c:v>
                </c:pt>
                <c:pt idx="113">
                  <c:v>114</c:v>
                </c:pt>
                <c:pt idx="114">
                  <c:v>115</c:v>
                </c:pt>
                <c:pt idx="115">
                  <c:v>116</c:v>
                </c:pt>
                <c:pt idx="116">
                  <c:v>117</c:v>
                </c:pt>
                <c:pt idx="117">
                  <c:v>118</c:v>
                </c:pt>
                <c:pt idx="118">
                  <c:v>119</c:v>
                </c:pt>
                <c:pt idx="119">
                  <c:v>120</c:v>
                </c:pt>
                <c:pt idx="120">
                  <c:v>121</c:v>
                </c:pt>
                <c:pt idx="121">
                  <c:v>122</c:v>
                </c:pt>
                <c:pt idx="122">
                  <c:v>123</c:v>
                </c:pt>
                <c:pt idx="123">
                  <c:v>124</c:v>
                </c:pt>
                <c:pt idx="124">
                  <c:v>125</c:v>
                </c:pt>
                <c:pt idx="125">
                  <c:v>126</c:v>
                </c:pt>
                <c:pt idx="126">
                  <c:v>127</c:v>
                </c:pt>
                <c:pt idx="127">
                  <c:v>128</c:v>
                </c:pt>
                <c:pt idx="128">
                  <c:v>129</c:v>
                </c:pt>
                <c:pt idx="129">
                  <c:v>130</c:v>
                </c:pt>
                <c:pt idx="130">
                  <c:v>131</c:v>
                </c:pt>
                <c:pt idx="131">
                  <c:v>132</c:v>
                </c:pt>
                <c:pt idx="132">
                  <c:v>133</c:v>
                </c:pt>
                <c:pt idx="133">
                  <c:v>134</c:v>
                </c:pt>
                <c:pt idx="134">
                  <c:v>135</c:v>
                </c:pt>
                <c:pt idx="135">
                  <c:v>136</c:v>
                </c:pt>
                <c:pt idx="136">
                  <c:v>137</c:v>
                </c:pt>
                <c:pt idx="137">
                  <c:v>138</c:v>
                </c:pt>
                <c:pt idx="138">
                  <c:v>139</c:v>
                </c:pt>
                <c:pt idx="139">
                  <c:v>140</c:v>
                </c:pt>
                <c:pt idx="140">
                  <c:v>141</c:v>
                </c:pt>
                <c:pt idx="141">
                  <c:v>142</c:v>
                </c:pt>
                <c:pt idx="142">
                  <c:v>143</c:v>
                </c:pt>
                <c:pt idx="143">
                  <c:v>144</c:v>
                </c:pt>
              </c:numCache>
            </c:numRef>
          </c:xVal>
          <c:yVal>
            <c:numRef>
              <c:f>'Hidro dados'!$M$3:$M$146</c:f>
              <c:numCache>
                <c:formatCode>0.00</c:formatCode>
                <c:ptCount val="144"/>
                <c:pt idx="0">
                  <c:v>2.38</c:v>
                </c:pt>
                <c:pt idx="1">
                  <c:v>2.38</c:v>
                </c:pt>
                <c:pt idx="2">
                  <c:v>2.38</c:v>
                </c:pt>
                <c:pt idx="3">
                  <c:v>2.38</c:v>
                </c:pt>
                <c:pt idx="4">
                  <c:v>2.38</c:v>
                </c:pt>
                <c:pt idx="5">
                  <c:v>2.38</c:v>
                </c:pt>
                <c:pt idx="6">
                  <c:v>2.38</c:v>
                </c:pt>
                <c:pt idx="7">
                  <c:v>2.38</c:v>
                </c:pt>
                <c:pt idx="8">
                  <c:v>2.38</c:v>
                </c:pt>
                <c:pt idx="9">
                  <c:v>2.38</c:v>
                </c:pt>
                <c:pt idx="10">
                  <c:v>2.38</c:v>
                </c:pt>
                <c:pt idx="11">
                  <c:v>2.38</c:v>
                </c:pt>
                <c:pt idx="12">
                  <c:v>2.38</c:v>
                </c:pt>
                <c:pt idx="13">
                  <c:v>2.38</c:v>
                </c:pt>
                <c:pt idx="14">
                  <c:v>2.38</c:v>
                </c:pt>
                <c:pt idx="15">
                  <c:v>2.38</c:v>
                </c:pt>
                <c:pt idx="16">
                  <c:v>2.38</c:v>
                </c:pt>
                <c:pt idx="17">
                  <c:v>2.38</c:v>
                </c:pt>
                <c:pt idx="18">
                  <c:v>2.38</c:v>
                </c:pt>
                <c:pt idx="19">
                  <c:v>2.38</c:v>
                </c:pt>
                <c:pt idx="20">
                  <c:v>2.38</c:v>
                </c:pt>
                <c:pt idx="21">
                  <c:v>2.38</c:v>
                </c:pt>
                <c:pt idx="22">
                  <c:v>2.38</c:v>
                </c:pt>
                <c:pt idx="23">
                  <c:v>2.38</c:v>
                </c:pt>
                <c:pt idx="24">
                  <c:v>2.38</c:v>
                </c:pt>
                <c:pt idx="25">
                  <c:v>2.38</c:v>
                </c:pt>
                <c:pt idx="26">
                  <c:v>2.38</c:v>
                </c:pt>
                <c:pt idx="27">
                  <c:v>2.38</c:v>
                </c:pt>
                <c:pt idx="28">
                  <c:v>2.38</c:v>
                </c:pt>
                <c:pt idx="29">
                  <c:v>2.38</c:v>
                </c:pt>
                <c:pt idx="30">
                  <c:v>2.38</c:v>
                </c:pt>
                <c:pt idx="31">
                  <c:v>2.38</c:v>
                </c:pt>
                <c:pt idx="32">
                  <c:v>2.38</c:v>
                </c:pt>
                <c:pt idx="33">
                  <c:v>2.38</c:v>
                </c:pt>
                <c:pt idx="34">
                  <c:v>2.38</c:v>
                </c:pt>
                <c:pt idx="35">
                  <c:v>2.38</c:v>
                </c:pt>
                <c:pt idx="36">
                  <c:v>2.38</c:v>
                </c:pt>
                <c:pt idx="37">
                  <c:v>2.38</c:v>
                </c:pt>
                <c:pt idx="38">
                  <c:v>2.38</c:v>
                </c:pt>
                <c:pt idx="39">
                  <c:v>2.38</c:v>
                </c:pt>
                <c:pt idx="40">
                  <c:v>2.38</c:v>
                </c:pt>
                <c:pt idx="41">
                  <c:v>2.38</c:v>
                </c:pt>
                <c:pt idx="42">
                  <c:v>2.38</c:v>
                </c:pt>
                <c:pt idx="43">
                  <c:v>2.38</c:v>
                </c:pt>
                <c:pt idx="44">
                  <c:v>2.38</c:v>
                </c:pt>
                <c:pt idx="45">
                  <c:v>2.38</c:v>
                </c:pt>
                <c:pt idx="46">
                  <c:v>2.38</c:v>
                </c:pt>
                <c:pt idx="47">
                  <c:v>2.38</c:v>
                </c:pt>
                <c:pt idx="48">
                  <c:v>2.38</c:v>
                </c:pt>
                <c:pt idx="49">
                  <c:v>2.38</c:v>
                </c:pt>
                <c:pt idx="50">
                  <c:v>2.38</c:v>
                </c:pt>
                <c:pt idx="51">
                  <c:v>2.38</c:v>
                </c:pt>
                <c:pt idx="52">
                  <c:v>2.38</c:v>
                </c:pt>
                <c:pt idx="53">
                  <c:v>2.38</c:v>
                </c:pt>
                <c:pt idx="54">
                  <c:v>2.38</c:v>
                </c:pt>
                <c:pt idx="55">
                  <c:v>2.38</c:v>
                </c:pt>
                <c:pt idx="56">
                  <c:v>2.38</c:v>
                </c:pt>
                <c:pt idx="57">
                  <c:v>2.38</c:v>
                </c:pt>
                <c:pt idx="58">
                  <c:v>2.38</c:v>
                </c:pt>
                <c:pt idx="59">
                  <c:v>2.38</c:v>
                </c:pt>
                <c:pt idx="60">
                  <c:v>2.38</c:v>
                </c:pt>
                <c:pt idx="61">
                  <c:v>2.38</c:v>
                </c:pt>
                <c:pt idx="62">
                  <c:v>2.38</c:v>
                </c:pt>
                <c:pt idx="63">
                  <c:v>2.38</c:v>
                </c:pt>
                <c:pt idx="64">
                  <c:v>2.38</c:v>
                </c:pt>
                <c:pt idx="65">
                  <c:v>2.38</c:v>
                </c:pt>
                <c:pt idx="66">
                  <c:v>2.38</c:v>
                </c:pt>
                <c:pt idx="67">
                  <c:v>2.38</c:v>
                </c:pt>
                <c:pt idx="68">
                  <c:v>2.38</c:v>
                </c:pt>
                <c:pt idx="69">
                  <c:v>2.38</c:v>
                </c:pt>
                <c:pt idx="70">
                  <c:v>2.38</c:v>
                </c:pt>
                <c:pt idx="71">
                  <c:v>2.38</c:v>
                </c:pt>
                <c:pt idx="72">
                  <c:v>2.38</c:v>
                </c:pt>
                <c:pt idx="73">
                  <c:v>2.38</c:v>
                </c:pt>
                <c:pt idx="74">
                  <c:v>2.38</c:v>
                </c:pt>
                <c:pt idx="75">
                  <c:v>2.38</c:v>
                </c:pt>
                <c:pt idx="76">
                  <c:v>2.38</c:v>
                </c:pt>
                <c:pt idx="77">
                  <c:v>2.38</c:v>
                </c:pt>
                <c:pt idx="78">
                  <c:v>2.38</c:v>
                </c:pt>
                <c:pt idx="79">
                  <c:v>2.38</c:v>
                </c:pt>
                <c:pt idx="80">
                  <c:v>2.38</c:v>
                </c:pt>
                <c:pt idx="81">
                  <c:v>2.38</c:v>
                </c:pt>
                <c:pt idx="82">
                  <c:v>2.38</c:v>
                </c:pt>
                <c:pt idx="83">
                  <c:v>2.38</c:v>
                </c:pt>
                <c:pt idx="84">
                  <c:v>2.38</c:v>
                </c:pt>
                <c:pt idx="85">
                  <c:v>2.38</c:v>
                </c:pt>
                <c:pt idx="86">
                  <c:v>2.38</c:v>
                </c:pt>
                <c:pt idx="87">
                  <c:v>2.38</c:v>
                </c:pt>
                <c:pt idx="88">
                  <c:v>2.38</c:v>
                </c:pt>
                <c:pt idx="89">
                  <c:v>2.38</c:v>
                </c:pt>
                <c:pt idx="90">
                  <c:v>2.38</c:v>
                </c:pt>
                <c:pt idx="91">
                  <c:v>2.38</c:v>
                </c:pt>
                <c:pt idx="92">
                  <c:v>2.38</c:v>
                </c:pt>
                <c:pt idx="93">
                  <c:v>2.38</c:v>
                </c:pt>
                <c:pt idx="94">
                  <c:v>2.38</c:v>
                </c:pt>
                <c:pt idx="95">
                  <c:v>2.38</c:v>
                </c:pt>
                <c:pt idx="96">
                  <c:v>2.38</c:v>
                </c:pt>
                <c:pt idx="97">
                  <c:v>2.38</c:v>
                </c:pt>
                <c:pt idx="98">
                  <c:v>2.38</c:v>
                </c:pt>
                <c:pt idx="99">
                  <c:v>2.38</c:v>
                </c:pt>
                <c:pt idx="100">
                  <c:v>2.38</c:v>
                </c:pt>
                <c:pt idx="101">
                  <c:v>2.38</c:v>
                </c:pt>
                <c:pt idx="102">
                  <c:v>2.38</c:v>
                </c:pt>
                <c:pt idx="103">
                  <c:v>2.38</c:v>
                </c:pt>
                <c:pt idx="104">
                  <c:v>2.38</c:v>
                </c:pt>
                <c:pt idx="105">
                  <c:v>2.38</c:v>
                </c:pt>
                <c:pt idx="106">
                  <c:v>2.38</c:v>
                </c:pt>
                <c:pt idx="107">
                  <c:v>2.38</c:v>
                </c:pt>
                <c:pt idx="108">
                  <c:v>2.38</c:v>
                </c:pt>
                <c:pt idx="109">
                  <c:v>2.38</c:v>
                </c:pt>
                <c:pt idx="110">
                  <c:v>2.38</c:v>
                </c:pt>
                <c:pt idx="111">
                  <c:v>2.38</c:v>
                </c:pt>
                <c:pt idx="112">
                  <c:v>2.38</c:v>
                </c:pt>
                <c:pt idx="113">
                  <c:v>2.38</c:v>
                </c:pt>
                <c:pt idx="114">
                  <c:v>2.38</c:v>
                </c:pt>
                <c:pt idx="115">
                  <c:v>2.38</c:v>
                </c:pt>
                <c:pt idx="116">
                  <c:v>2.38</c:v>
                </c:pt>
                <c:pt idx="117">
                  <c:v>2.38</c:v>
                </c:pt>
                <c:pt idx="118">
                  <c:v>2.38</c:v>
                </c:pt>
                <c:pt idx="119">
                  <c:v>2.38</c:v>
                </c:pt>
                <c:pt idx="120">
                  <c:v>2.38</c:v>
                </c:pt>
                <c:pt idx="121">
                  <c:v>2.38</c:v>
                </c:pt>
                <c:pt idx="122">
                  <c:v>2.38</c:v>
                </c:pt>
                <c:pt idx="123">
                  <c:v>2.38</c:v>
                </c:pt>
                <c:pt idx="124">
                  <c:v>2.38</c:v>
                </c:pt>
                <c:pt idx="125">
                  <c:v>2.38</c:v>
                </c:pt>
                <c:pt idx="126">
                  <c:v>2.38</c:v>
                </c:pt>
                <c:pt idx="127">
                  <c:v>2.38</c:v>
                </c:pt>
                <c:pt idx="128">
                  <c:v>2.38</c:v>
                </c:pt>
                <c:pt idx="129">
                  <c:v>2.38</c:v>
                </c:pt>
                <c:pt idx="130">
                  <c:v>2.38</c:v>
                </c:pt>
                <c:pt idx="131">
                  <c:v>2.38</c:v>
                </c:pt>
                <c:pt idx="132">
                  <c:v>2.38</c:v>
                </c:pt>
                <c:pt idx="133">
                  <c:v>2.38</c:v>
                </c:pt>
                <c:pt idx="134">
                  <c:v>2.38</c:v>
                </c:pt>
                <c:pt idx="135">
                  <c:v>2.38</c:v>
                </c:pt>
                <c:pt idx="136">
                  <c:v>2.38</c:v>
                </c:pt>
                <c:pt idx="137">
                  <c:v>2.38</c:v>
                </c:pt>
                <c:pt idx="138">
                  <c:v>2.38</c:v>
                </c:pt>
                <c:pt idx="139">
                  <c:v>2.38</c:v>
                </c:pt>
                <c:pt idx="140">
                  <c:v>2.38</c:v>
                </c:pt>
                <c:pt idx="141">
                  <c:v>2.38</c:v>
                </c:pt>
                <c:pt idx="142">
                  <c:v>2.38</c:v>
                </c:pt>
                <c:pt idx="143">
                  <c:v>2.38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A9-43D6-A6D0-6054C98AF4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892815"/>
        <c:axId val="1"/>
      </c:scatterChart>
      <c:valAx>
        <c:axId val="1046892815"/>
        <c:scaling>
          <c:orientation val="minMax"/>
          <c:max val="15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vert="horz"/>
              <a:lstStyle/>
              <a:p>
                <a:pPr>
                  <a:defRPr/>
                </a:pPr>
                <a:r>
                  <a:rPr lang="pt-BR"/>
                  <a:t>Posição dos bocais</a:t>
                </a:r>
              </a:p>
            </c:rich>
          </c:tx>
          <c:layout>
            <c:manualLayout>
              <c:xMode val="edge"/>
              <c:yMode val="edge"/>
              <c:x val="0.46852999684374902"/>
              <c:y val="0.9007918981574003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200" b="1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crossBetween val="midCat"/>
        <c:majorUnit val="10"/>
      </c:valAx>
      <c:valAx>
        <c:axId val="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pt-BR"/>
                  <a:t>Vazão ajustada m3/ha)</a:t>
                </a:r>
              </a:p>
            </c:rich>
          </c:tx>
          <c:layout>
            <c:manualLayout>
              <c:xMode val="edge"/>
              <c:yMode val="edge"/>
              <c:x val="6.5836904880560813E-3"/>
              <c:y val="0.34909019145449455"/>
            </c:manualLayout>
          </c:layout>
          <c:overlay val="0"/>
          <c:spPr>
            <a:noFill/>
            <a:ln w="25400">
              <a:noFill/>
            </a:ln>
          </c:spPr>
        </c:title>
        <c:numFmt formatCode="0.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vert="horz"/>
          <a:lstStyle/>
          <a:p>
            <a:pPr>
              <a:defRPr/>
            </a:pPr>
            <a:endParaRPr lang="pt-BR"/>
          </a:p>
        </c:txPr>
        <c:crossAx val="1046892815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wMode val="edge"/>
          <c:hMode val="edge"/>
          <c:x val="0.36421216236419818"/>
          <c:y val="0.94282095607338423"/>
          <c:w val="0.63578773381175457"/>
          <c:h val="0.98602312242695556"/>
        </c:manualLayout>
      </c:layout>
      <c:overlay val="0"/>
      <c:spPr>
        <a:noFill/>
        <a:ln w="25400">
          <a:noFill/>
        </a:ln>
      </c:sp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 b="1">
          <a:solidFill>
            <a:sysClr val="windowText" lastClr="000000"/>
          </a:solidFill>
          <a:latin typeface="+mn-lt"/>
          <a:cs typeface="Times New Roman" panose="02020603050405020304" pitchFamily="18" charset="0"/>
        </a:defRPr>
      </a:pPr>
      <a:endParaRPr lang="pt-BR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7.3665631133664713E-2"/>
          <c:y val="2.6073941799712987E-2"/>
          <c:w val="0.90439615416951669"/>
          <c:h val="0.80136976147027383"/>
        </c:manualLayout>
      </c:layout>
      <c:scatterChart>
        <c:scatterStyle val="lineMarker"/>
        <c:varyColors val="0"/>
        <c:ser>
          <c:idx val="0"/>
          <c:order val="0"/>
          <c:tx>
            <c:strRef>
              <c:f>'Adequabilidade dados'!$B$2</c:f>
              <c:strCache>
                <c:ptCount val="1"/>
                <c:pt idx="0">
                  <c:v>Lâminas</c:v>
                </c:pt>
              </c:strCache>
            </c:strRef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rgbClr val="00B0F0"/>
                </a:solidFill>
              </a:ln>
              <a:effectLst/>
            </c:spPr>
          </c:marker>
          <c:trendline>
            <c:spPr>
              <a:ln w="19050" cap="rnd">
                <a:solidFill>
                  <a:srgbClr val="0070C0"/>
                </a:solidFill>
                <a:prstDash val="solid"/>
              </a:ln>
              <a:effectLst/>
            </c:spPr>
            <c:trendlineType val="poly"/>
            <c:order val="4"/>
            <c:dispRSqr val="0"/>
            <c:dispEq val="0"/>
          </c:trendline>
          <c:xVal>
            <c:numRef>
              <c:f>'Adequabilidade dados'!$A$3:$A$35</c:f>
              <c:numCache>
                <c:formatCode>General</c:formatCode>
                <c:ptCount val="33"/>
                <c:pt idx="0">
                  <c:v>1.25</c:v>
                </c:pt>
                <c:pt idx="1">
                  <c:v>2.5</c:v>
                </c:pt>
                <c:pt idx="2">
                  <c:v>3.75</c:v>
                </c:pt>
                <c:pt idx="3">
                  <c:v>6.25</c:v>
                </c:pt>
                <c:pt idx="4">
                  <c:v>7.5</c:v>
                </c:pt>
                <c:pt idx="5">
                  <c:v>8.75</c:v>
                </c:pt>
                <c:pt idx="6">
                  <c:v>10</c:v>
                </c:pt>
                <c:pt idx="7">
                  <c:v>11.25</c:v>
                </c:pt>
                <c:pt idx="8">
                  <c:v>13.75</c:v>
                </c:pt>
                <c:pt idx="9">
                  <c:v>15</c:v>
                </c:pt>
                <c:pt idx="10">
                  <c:v>17.5</c:v>
                </c:pt>
                <c:pt idx="11">
                  <c:v>18.75</c:v>
                </c:pt>
                <c:pt idx="12">
                  <c:v>20</c:v>
                </c:pt>
                <c:pt idx="13">
                  <c:v>21.25</c:v>
                </c:pt>
                <c:pt idx="14">
                  <c:v>22.5</c:v>
                </c:pt>
                <c:pt idx="15">
                  <c:v>28.75</c:v>
                </c:pt>
                <c:pt idx="16">
                  <c:v>36.25</c:v>
                </c:pt>
                <c:pt idx="17">
                  <c:v>42.5</c:v>
                </c:pt>
                <c:pt idx="18">
                  <c:v>43.75</c:v>
                </c:pt>
                <c:pt idx="19">
                  <c:v>50</c:v>
                </c:pt>
                <c:pt idx="20">
                  <c:v>55</c:v>
                </c:pt>
                <c:pt idx="21">
                  <c:v>62.5</c:v>
                </c:pt>
                <c:pt idx="22">
                  <c:v>67.5</c:v>
                </c:pt>
                <c:pt idx="23">
                  <c:v>75</c:v>
                </c:pt>
                <c:pt idx="24">
                  <c:v>77.5</c:v>
                </c:pt>
                <c:pt idx="25">
                  <c:v>85</c:v>
                </c:pt>
                <c:pt idx="26">
                  <c:v>88.75</c:v>
                </c:pt>
                <c:pt idx="27">
                  <c:v>91.25</c:v>
                </c:pt>
                <c:pt idx="28">
                  <c:v>93.75</c:v>
                </c:pt>
                <c:pt idx="29">
                  <c:v>96.25</c:v>
                </c:pt>
                <c:pt idx="30">
                  <c:v>97.5</c:v>
                </c:pt>
                <c:pt idx="31">
                  <c:v>98.75</c:v>
                </c:pt>
                <c:pt idx="32">
                  <c:v>100</c:v>
                </c:pt>
              </c:numCache>
            </c:numRef>
          </c:xVal>
          <c:yVal>
            <c:numRef>
              <c:f>'Adequabilidade dados'!$B$3:$B$35</c:f>
              <c:numCache>
                <c:formatCode>General</c:formatCode>
                <c:ptCount val="33"/>
                <c:pt idx="0">
                  <c:v>13.21</c:v>
                </c:pt>
                <c:pt idx="1">
                  <c:v>12.89</c:v>
                </c:pt>
                <c:pt idx="2">
                  <c:v>10.029999999999999</c:v>
                </c:pt>
                <c:pt idx="3">
                  <c:v>9.07</c:v>
                </c:pt>
                <c:pt idx="4">
                  <c:v>8.59</c:v>
                </c:pt>
                <c:pt idx="5">
                  <c:v>8.1199999999999992</c:v>
                </c:pt>
                <c:pt idx="6">
                  <c:v>7.96</c:v>
                </c:pt>
                <c:pt idx="7">
                  <c:v>7.64</c:v>
                </c:pt>
                <c:pt idx="8">
                  <c:v>7.48</c:v>
                </c:pt>
                <c:pt idx="9">
                  <c:v>7.32</c:v>
                </c:pt>
                <c:pt idx="10">
                  <c:v>7.16</c:v>
                </c:pt>
                <c:pt idx="11">
                  <c:v>7</c:v>
                </c:pt>
                <c:pt idx="12">
                  <c:v>6.84</c:v>
                </c:pt>
                <c:pt idx="13">
                  <c:v>6.68</c:v>
                </c:pt>
                <c:pt idx="14">
                  <c:v>6.53</c:v>
                </c:pt>
                <c:pt idx="15">
                  <c:v>6.37</c:v>
                </c:pt>
                <c:pt idx="16">
                  <c:v>6.21</c:v>
                </c:pt>
                <c:pt idx="17">
                  <c:v>6.05</c:v>
                </c:pt>
                <c:pt idx="18">
                  <c:v>5.89</c:v>
                </c:pt>
                <c:pt idx="19">
                  <c:v>5.73</c:v>
                </c:pt>
                <c:pt idx="20">
                  <c:v>5.57</c:v>
                </c:pt>
                <c:pt idx="21">
                  <c:v>5.41</c:v>
                </c:pt>
                <c:pt idx="22">
                  <c:v>5.25</c:v>
                </c:pt>
                <c:pt idx="23">
                  <c:v>5.09</c:v>
                </c:pt>
                <c:pt idx="24">
                  <c:v>4.93</c:v>
                </c:pt>
                <c:pt idx="25">
                  <c:v>4.7699999999999996</c:v>
                </c:pt>
                <c:pt idx="26">
                  <c:v>4.46</c:v>
                </c:pt>
                <c:pt idx="27">
                  <c:v>4.42</c:v>
                </c:pt>
                <c:pt idx="28">
                  <c:v>3.82</c:v>
                </c:pt>
                <c:pt idx="29">
                  <c:v>3.18</c:v>
                </c:pt>
                <c:pt idx="30">
                  <c:v>1.27</c:v>
                </c:pt>
                <c:pt idx="31">
                  <c:v>0.64</c:v>
                </c:pt>
                <c:pt idx="32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6B-451C-A6D9-126F0D62FEA1}"/>
            </c:ext>
          </c:extLst>
        </c:ser>
        <c:ser>
          <c:idx val="1"/>
          <c:order val="1"/>
          <c:tx>
            <c:strRef>
              <c:f>'Adequabilidade dados'!$C$2</c:f>
              <c:strCache>
                <c:ptCount val="1"/>
                <c:pt idx="0">
                  <c:v>Lamina de projeto </c:v>
                </c:pt>
              </c:strCache>
            </c:strRef>
          </c:tx>
          <c:spPr>
            <a:ln w="19050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xVal>
            <c:numRef>
              <c:f>'Adequabilidade dados'!$A$3:$A$35</c:f>
              <c:numCache>
                <c:formatCode>General</c:formatCode>
                <c:ptCount val="33"/>
                <c:pt idx="0">
                  <c:v>1.25</c:v>
                </c:pt>
                <c:pt idx="1">
                  <c:v>2.5</c:v>
                </c:pt>
                <c:pt idx="2">
                  <c:v>3.75</c:v>
                </c:pt>
                <c:pt idx="3">
                  <c:v>6.25</c:v>
                </c:pt>
                <c:pt idx="4">
                  <c:v>7.5</c:v>
                </c:pt>
                <c:pt idx="5">
                  <c:v>8.75</c:v>
                </c:pt>
                <c:pt idx="6">
                  <c:v>10</c:v>
                </c:pt>
                <c:pt idx="7">
                  <c:v>11.25</c:v>
                </c:pt>
                <c:pt idx="8">
                  <c:v>13.75</c:v>
                </c:pt>
                <c:pt idx="9">
                  <c:v>15</c:v>
                </c:pt>
                <c:pt idx="10">
                  <c:v>17.5</c:v>
                </c:pt>
                <c:pt idx="11">
                  <c:v>18.75</c:v>
                </c:pt>
                <c:pt idx="12">
                  <c:v>20</c:v>
                </c:pt>
                <c:pt idx="13">
                  <c:v>21.25</c:v>
                </c:pt>
                <c:pt idx="14">
                  <c:v>22.5</c:v>
                </c:pt>
                <c:pt idx="15">
                  <c:v>28.75</c:v>
                </c:pt>
                <c:pt idx="16">
                  <c:v>36.25</c:v>
                </c:pt>
                <c:pt idx="17">
                  <c:v>42.5</c:v>
                </c:pt>
                <c:pt idx="18">
                  <c:v>43.75</c:v>
                </c:pt>
                <c:pt idx="19">
                  <c:v>50</c:v>
                </c:pt>
                <c:pt idx="20">
                  <c:v>55</c:v>
                </c:pt>
                <c:pt idx="21">
                  <c:v>62.5</c:v>
                </c:pt>
                <c:pt idx="22">
                  <c:v>67.5</c:v>
                </c:pt>
                <c:pt idx="23">
                  <c:v>75</c:v>
                </c:pt>
                <c:pt idx="24">
                  <c:v>77.5</c:v>
                </c:pt>
                <c:pt idx="25">
                  <c:v>85</c:v>
                </c:pt>
                <c:pt idx="26">
                  <c:v>88.75</c:v>
                </c:pt>
                <c:pt idx="27">
                  <c:v>91.25</c:v>
                </c:pt>
                <c:pt idx="28">
                  <c:v>93.75</c:v>
                </c:pt>
                <c:pt idx="29">
                  <c:v>96.25</c:v>
                </c:pt>
                <c:pt idx="30">
                  <c:v>97.5</c:v>
                </c:pt>
                <c:pt idx="31">
                  <c:v>98.75</c:v>
                </c:pt>
                <c:pt idx="32">
                  <c:v>100</c:v>
                </c:pt>
              </c:numCache>
            </c:numRef>
          </c:xVal>
          <c:yVal>
            <c:numRef>
              <c:f>'Adequabilidade dados'!$C$3:$C$35</c:f>
              <c:numCache>
                <c:formatCode>0.00</c:formatCode>
                <c:ptCount val="33"/>
                <c:pt idx="0">
                  <c:v>6.563699999999999</c:v>
                </c:pt>
                <c:pt idx="1">
                  <c:v>6.563699999999999</c:v>
                </c:pt>
                <c:pt idx="2">
                  <c:v>6.563699999999999</c:v>
                </c:pt>
                <c:pt idx="3">
                  <c:v>6.563699999999999</c:v>
                </c:pt>
                <c:pt idx="4">
                  <c:v>6.563699999999999</c:v>
                </c:pt>
                <c:pt idx="5">
                  <c:v>6.563699999999999</c:v>
                </c:pt>
                <c:pt idx="6">
                  <c:v>6.563699999999999</c:v>
                </c:pt>
                <c:pt idx="7">
                  <c:v>6.563699999999999</c:v>
                </c:pt>
                <c:pt idx="8">
                  <c:v>6.563699999999999</c:v>
                </c:pt>
                <c:pt idx="9">
                  <c:v>6.563699999999999</c:v>
                </c:pt>
                <c:pt idx="10">
                  <c:v>6.563699999999999</c:v>
                </c:pt>
                <c:pt idx="11">
                  <c:v>6.563699999999999</c:v>
                </c:pt>
                <c:pt idx="12">
                  <c:v>6.563699999999999</c:v>
                </c:pt>
                <c:pt idx="13">
                  <c:v>6.563699999999999</c:v>
                </c:pt>
                <c:pt idx="14">
                  <c:v>6.563699999999999</c:v>
                </c:pt>
                <c:pt idx="15">
                  <c:v>6.563699999999999</c:v>
                </c:pt>
                <c:pt idx="16">
                  <c:v>6.563699999999999</c:v>
                </c:pt>
                <c:pt idx="17">
                  <c:v>6.563699999999999</c:v>
                </c:pt>
                <c:pt idx="18">
                  <c:v>6.563699999999999</c:v>
                </c:pt>
                <c:pt idx="19">
                  <c:v>6.563699999999999</c:v>
                </c:pt>
                <c:pt idx="20">
                  <c:v>6.563699999999999</c:v>
                </c:pt>
                <c:pt idx="21">
                  <c:v>6.563699999999999</c:v>
                </c:pt>
                <c:pt idx="22">
                  <c:v>6.563699999999999</c:v>
                </c:pt>
                <c:pt idx="23">
                  <c:v>6.563699999999999</c:v>
                </c:pt>
                <c:pt idx="24">
                  <c:v>6.563699999999999</c:v>
                </c:pt>
                <c:pt idx="25">
                  <c:v>6.563699999999999</c:v>
                </c:pt>
                <c:pt idx="26">
                  <c:v>6.563699999999999</c:v>
                </c:pt>
                <c:pt idx="27">
                  <c:v>6.563699999999999</c:v>
                </c:pt>
                <c:pt idx="28">
                  <c:v>6.563699999999999</c:v>
                </c:pt>
                <c:pt idx="29">
                  <c:v>6.563699999999999</c:v>
                </c:pt>
                <c:pt idx="30">
                  <c:v>6.563699999999999</c:v>
                </c:pt>
                <c:pt idx="31">
                  <c:v>6.563699999999999</c:v>
                </c:pt>
                <c:pt idx="32">
                  <c:v>6.563699999999999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6B-451C-A6D9-126F0D62FEA1}"/>
            </c:ext>
          </c:extLst>
        </c:ser>
        <c:ser>
          <c:idx val="2"/>
          <c:order val="2"/>
          <c:tx>
            <c:strRef>
              <c:f>'Adequabilidade dados'!$D$2</c:f>
              <c:strCache>
                <c:ptCount val="1"/>
                <c:pt idx="0">
                  <c:v>Lamina Média Ponderada </c:v>
                </c:pt>
              </c:strCache>
            </c:strRef>
          </c:tx>
          <c:spPr>
            <a:ln w="12700">
              <a:solidFill>
                <a:srgbClr val="FF0000"/>
              </a:solidFill>
              <a:prstDash val="solid"/>
            </a:ln>
          </c:spPr>
          <c:marker>
            <c:symbol val="none"/>
          </c:marker>
          <c:xVal>
            <c:numRef>
              <c:f>'Adequabilidade dados'!$A$3:$A$35</c:f>
              <c:numCache>
                <c:formatCode>General</c:formatCode>
                <c:ptCount val="33"/>
                <c:pt idx="0">
                  <c:v>1.25</c:v>
                </c:pt>
                <c:pt idx="1">
                  <c:v>2.5</c:v>
                </c:pt>
                <c:pt idx="2">
                  <c:v>3.75</c:v>
                </c:pt>
                <c:pt idx="3">
                  <c:v>6.25</c:v>
                </c:pt>
                <c:pt idx="4">
                  <c:v>7.5</c:v>
                </c:pt>
                <c:pt idx="5">
                  <c:v>8.75</c:v>
                </c:pt>
                <c:pt idx="6">
                  <c:v>10</c:v>
                </c:pt>
                <c:pt idx="7">
                  <c:v>11.25</c:v>
                </c:pt>
                <c:pt idx="8">
                  <c:v>13.75</c:v>
                </c:pt>
                <c:pt idx="9">
                  <c:v>15</c:v>
                </c:pt>
                <c:pt idx="10">
                  <c:v>17.5</c:v>
                </c:pt>
                <c:pt idx="11">
                  <c:v>18.75</c:v>
                </c:pt>
                <c:pt idx="12">
                  <c:v>20</c:v>
                </c:pt>
                <c:pt idx="13">
                  <c:v>21.25</c:v>
                </c:pt>
                <c:pt idx="14">
                  <c:v>22.5</c:v>
                </c:pt>
                <c:pt idx="15">
                  <c:v>28.75</c:v>
                </c:pt>
                <c:pt idx="16">
                  <c:v>36.25</c:v>
                </c:pt>
                <c:pt idx="17">
                  <c:v>42.5</c:v>
                </c:pt>
                <c:pt idx="18">
                  <c:v>43.75</c:v>
                </c:pt>
                <c:pt idx="19">
                  <c:v>50</c:v>
                </c:pt>
                <c:pt idx="20">
                  <c:v>55</c:v>
                </c:pt>
                <c:pt idx="21">
                  <c:v>62.5</c:v>
                </c:pt>
                <c:pt idx="22">
                  <c:v>67.5</c:v>
                </c:pt>
                <c:pt idx="23">
                  <c:v>75</c:v>
                </c:pt>
                <c:pt idx="24">
                  <c:v>77.5</c:v>
                </c:pt>
                <c:pt idx="25">
                  <c:v>85</c:v>
                </c:pt>
                <c:pt idx="26">
                  <c:v>88.75</c:v>
                </c:pt>
                <c:pt idx="27">
                  <c:v>91.25</c:v>
                </c:pt>
                <c:pt idx="28">
                  <c:v>93.75</c:v>
                </c:pt>
                <c:pt idx="29">
                  <c:v>96.25</c:v>
                </c:pt>
                <c:pt idx="30">
                  <c:v>97.5</c:v>
                </c:pt>
                <c:pt idx="31">
                  <c:v>98.75</c:v>
                </c:pt>
                <c:pt idx="32">
                  <c:v>100</c:v>
                </c:pt>
              </c:numCache>
            </c:numRef>
          </c:xVal>
          <c:yVal>
            <c:numRef>
              <c:f>'Adequabilidade dados'!$D$3:$D$35</c:f>
              <c:numCache>
                <c:formatCode>0.00</c:formatCode>
                <c:ptCount val="33"/>
                <c:pt idx="0">
                  <c:v>5.828692307450476</c:v>
                </c:pt>
                <c:pt idx="1">
                  <c:v>5.828692307450476</c:v>
                </c:pt>
                <c:pt idx="2">
                  <c:v>5.828692307450476</c:v>
                </c:pt>
                <c:pt idx="3">
                  <c:v>5.828692307450476</c:v>
                </c:pt>
                <c:pt idx="4">
                  <c:v>5.828692307450476</c:v>
                </c:pt>
                <c:pt idx="5">
                  <c:v>5.828692307450476</c:v>
                </c:pt>
                <c:pt idx="6">
                  <c:v>5.828692307450476</c:v>
                </c:pt>
                <c:pt idx="7">
                  <c:v>5.828692307450476</c:v>
                </c:pt>
                <c:pt idx="8">
                  <c:v>5.828692307450476</c:v>
                </c:pt>
                <c:pt idx="9">
                  <c:v>5.828692307450476</c:v>
                </c:pt>
                <c:pt idx="10">
                  <c:v>5.828692307450476</c:v>
                </c:pt>
                <c:pt idx="11">
                  <c:v>5.828692307450476</c:v>
                </c:pt>
                <c:pt idx="12">
                  <c:v>5.828692307450476</c:v>
                </c:pt>
                <c:pt idx="13">
                  <c:v>5.828692307450476</c:v>
                </c:pt>
                <c:pt idx="14">
                  <c:v>5.828692307450476</c:v>
                </c:pt>
                <c:pt idx="15">
                  <c:v>5.828692307450476</c:v>
                </c:pt>
                <c:pt idx="16">
                  <c:v>5.828692307450476</c:v>
                </c:pt>
                <c:pt idx="17">
                  <c:v>5.828692307450476</c:v>
                </c:pt>
                <c:pt idx="18">
                  <c:v>5.828692307450476</c:v>
                </c:pt>
                <c:pt idx="19">
                  <c:v>5.828692307450476</c:v>
                </c:pt>
                <c:pt idx="20">
                  <c:v>5.828692307450476</c:v>
                </c:pt>
                <c:pt idx="21">
                  <c:v>5.828692307450476</c:v>
                </c:pt>
                <c:pt idx="22">
                  <c:v>5.828692307450476</c:v>
                </c:pt>
                <c:pt idx="23">
                  <c:v>5.828692307450476</c:v>
                </c:pt>
                <c:pt idx="24">
                  <c:v>5.828692307450476</c:v>
                </c:pt>
                <c:pt idx="25">
                  <c:v>5.828692307450476</c:v>
                </c:pt>
                <c:pt idx="26">
                  <c:v>5.828692307450476</c:v>
                </c:pt>
                <c:pt idx="27">
                  <c:v>5.828692307450476</c:v>
                </c:pt>
                <c:pt idx="28">
                  <c:v>5.828692307450476</c:v>
                </c:pt>
                <c:pt idx="29">
                  <c:v>5.828692307450476</c:v>
                </c:pt>
                <c:pt idx="30">
                  <c:v>5.828692307450476</c:v>
                </c:pt>
                <c:pt idx="31">
                  <c:v>5.828692307450476</c:v>
                </c:pt>
                <c:pt idx="32">
                  <c:v>5.828692307450476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6B-451C-A6D9-126F0D62F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46873615"/>
        <c:axId val="1"/>
      </c:scatterChart>
      <c:valAx>
        <c:axId val="1046873615"/>
        <c:scaling>
          <c:orientation val="minMax"/>
          <c:max val="10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Frequência</a:t>
                </a:r>
                <a:r>
                  <a:rPr lang="pt-BR" baseline="0"/>
                  <a:t> (%)</a:t>
                </a:r>
                <a:endParaRPr lang="pt-BR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0" vert="horz"/>
          <a:lstStyle/>
          <a:p>
            <a:pPr>
              <a:defRPr sz="1400" b="1" i="0" u="none" strike="noStrike" baseline="0">
                <a:solidFill>
                  <a:srgbClr val="333333"/>
                </a:solidFill>
                <a:latin typeface="Calibri"/>
                <a:ea typeface="Calibri"/>
                <a:cs typeface="Calibri"/>
              </a:defRPr>
            </a:pPr>
            <a:endParaRPr lang="pt-BR"/>
          </a:p>
        </c:txPr>
        <c:crossAx val="1"/>
        <c:crosses val="autoZero"/>
        <c:crossBetween val="midCat"/>
      </c:valAx>
      <c:valAx>
        <c:axId val="1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Lâminas Coletadas</a:t>
                </a:r>
                <a:r>
                  <a:rPr lang="pt-BR" baseline="0"/>
                  <a:t> no campo (mm)</a:t>
                </a:r>
                <a:endParaRPr lang="pt-BR"/>
              </a:p>
            </c:rich>
          </c:tx>
          <c:overlay val="0"/>
          <c:spPr>
            <a:noFill/>
            <a:ln w="2540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6873615"/>
        <c:crosses val="autoZero"/>
        <c:crossBetween val="midCat"/>
        <c:majorUnit val="1"/>
      </c:valAx>
      <c:spPr>
        <a:noFill/>
        <a:ln w="25400">
          <a:noFill/>
        </a:ln>
      </c:spPr>
    </c:plotArea>
    <c:legend>
      <c:legendPos val="r"/>
      <c:legendEntry>
        <c:idx val="3"/>
        <c:txPr>
          <a:bodyPr rot="0" spcFirstLastPara="1" vertOverflow="ellipsis" vert="horz" wrap="square" anchor="ctr" anchorCtr="1"/>
          <a:lstStyle/>
          <a:p>
            <a:pPr>
              <a:defRPr sz="14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</c:legendEntry>
      <c:layout>
        <c:manualLayout>
          <c:xMode val="edge"/>
          <c:yMode val="edge"/>
          <c:wMode val="edge"/>
          <c:hMode val="edge"/>
          <c:x val="8.221335990575547E-2"/>
          <c:y val="0.94027950167639651"/>
          <c:w val="0.91462447205106867"/>
          <c:h val="0.98856418827662984"/>
        </c:manualLayout>
      </c:layout>
      <c:overlay val="0"/>
      <c:spPr>
        <a:noFill/>
        <a:ln w="25400">
          <a:noFill/>
        </a:ln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400" b="1"/>
      </a:pPr>
      <a:endParaRPr lang="pt-BR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5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6E6396E0-286C-44C5-89C7-503C425B7D38}">
  <sheetPr>
    <tabColor rgb="FFFFFF00"/>
  </sheetPr>
  <sheetViews>
    <sheetView zoomScale="85" workbookViewId="0"/>
  </sheetViews>
  <pageMargins left="0.78740157499999996" right="0.78740157499999996" top="0.984251969" bottom="0.984251969" header="0.49212598499999999" footer="0.49212598499999999"/>
  <pageSetup paperSize="9" orientation="landscape" horizontalDpi="4294967294" verticalDpi="144" r:id="rId1"/>
  <headerFooter alignWithMargins="0"/>
  <drawing r:id="rId2"/>
</chartsheet>
</file>

<file path=xl/chartsheets/sheet2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4BB0A37-01C6-4231-BCAC-97CDA7043B99}">
  <sheetPr>
    <tabColor rgb="FFFFFF00"/>
  </sheetPr>
  <sheetViews>
    <sheetView zoomScale="85" workbookViewId="0"/>
  </sheetViews>
  <pageMargins left="0.511811024" right="0.511811024" top="0.78740157499999996" bottom="0.78740157499999996" header="0.31496062000000002" footer="0.31496062000000002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9D83A8C-859B-4CCD-A6AB-C7331D924330}">
  <sheetPr>
    <tabColor rgb="FFFFFF00"/>
  </sheetPr>
  <sheetViews>
    <sheetView zoomScale="70" workbookViewId="0"/>
  </sheetViews>
  <pageMargins left="0.511811024" right="0.511811024" top="0.78740157499999996" bottom="0.78740157499999996" header="0.31496062000000002" footer="0.31496062000000002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14EAA41-4B9F-4640-B4F1-F30016225D5D}">
  <sheetPr>
    <tabColor rgb="FFFFFF00"/>
  </sheetPr>
  <sheetViews>
    <sheetView zoomScale="85" workbookViewId="0"/>
  </sheetViews>
  <pageMargins left="0.511811024" right="0.511811024" top="0.78740157499999996" bottom="0.78740157499999996" header="0.31496062000000002" footer="0.31496062000000002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5645AD2-6B5C-4036-95B2-30AF03D8F93C}">
  <sheetPr>
    <tabColor rgb="FFFFFF00"/>
  </sheetPr>
  <sheetViews>
    <sheetView zoomScale="70" workbookViewId="0"/>
  </sheetViews>
  <pageMargins left="0.511811024" right="0.511811024" top="0.78740157499999996" bottom="0.78740157499999996" header="0.31496062000000002" footer="0.31496062000000002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FB4BFEBD-EA64-4546-AB4C-29C12EC991E7}">
  <sheetPr>
    <tabColor rgb="FFFFFF00"/>
  </sheetPr>
  <sheetViews>
    <sheetView zoomScale="85" workbookViewId="0"/>
  </sheetViews>
  <pageMargins left="0.511811024" right="0.511811024" top="0.78740157499999996" bottom="0.78740157499999996" header="0.31496062000000002" footer="0.31496062000000002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304800</xdr:colOff>
      <xdr:row>48</xdr:row>
      <xdr:rowOff>15240</xdr:rowOff>
    </xdr:to>
    <xdr:pic>
      <xdr:nvPicPr>
        <xdr:cNvPr id="290818" name="Imagem 1">
          <a:extLst>
            <a:ext uri="{FF2B5EF4-FFF2-40B4-BE49-F238E27FC236}">
              <a16:creationId xmlns:a16="http://schemas.microsoft.com/office/drawing/2014/main" id="{2E52015B-29E2-4E3F-0FD9-DCB1B61A73F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325600" cy="806196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136380" cy="563880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15D55C4-7580-E20B-9C3A-612380F62B3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0.09908</cdr:x>
      <cdr:y>0.66123</cdr:y>
    </cdr:from>
    <cdr:to>
      <cdr:x>0.3432</cdr:x>
      <cdr:y>0.73074</cdr:y>
    </cdr:to>
    <cdr:sp macro="" textlink="">
      <cdr:nvSpPr>
        <cdr:cNvPr id="5" name="CaixaDeTexto 4"/>
        <cdr:cNvSpPr txBox="1"/>
      </cdr:nvSpPr>
      <cdr:spPr>
        <a:xfrm xmlns:a="http://schemas.openxmlformats.org/drawingml/2006/main">
          <a:off x="926562" y="3714776"/>
          <a:ext cx="2225347" cy="389634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pt-BR" sz="1600" b="1">
              <a:latin typeface="+mn-lt"/>
              <a:cs typeface="Times New Roman" panose="02020603050405020304" pitchFamily="18" charset="0"/>
            </a:rPr>
            <a:t>CUC = 77,48% é baixo </a:t>
          </a:r>
        </a:p>
      </cdr:txBody>
    </cdr:sp>
  </cdr:relSizeAnchor>
</c:userShapes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631680" cy="600456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A002CF1-B86E-DA37-6E58-9D15A04A025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0.54689</cdr:x>
      <cdr:y>0.42169</cdr:y>
    </cdr:from>
    <cdr:to>
      <cdr:x>0.92788</cdr:x>
      <cdr:y>0.57406</cdr:y>
    </cdr:to>
    <cdr:sp macro="" textlink="">
      <cdr:nvSpPr>
        <cdr:cNvPr id="4" name="CaixaDeTexto 3"/>
        <cdr:cNvSpPr txBox="1"/>
      </cdr:nvSpPr>
      <cdr:spPr>
        <a:xfrm xmlns:a="http://schemas.openxmlformats.org/drawingml/2006/main">
          <a:off x="5274768" y="2521324"/>
          <a:ext cx="3681933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pt-BR"/>
        </a:p>
      </cdr:txBody>
    </cdr:sp>
  </cdr:relSizeAnchor>
</c:userShapes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631680" cy="599694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E047EC07-A0D1-EFC2-DAFA-A8C766D81A35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631680" cy="600456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16B1D89-9303-EBCB-5246-7F2359E2186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631680" cy="600456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A02D0E4-3F1A-3338-45DF-F821040E3A0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631680" cy="5996940"/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0F8CDF-9888-C7E3-7793-AC7D8D52C574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c:userShapes xmlns:c="http://schemas.openxmlformats.org/drawingml/2006/chart">
  <cdr:relSizeAnchor xmlns:cdr="http://schemas.openxmlformats.org/drawingml/2006/chartDrawing">
    <cdr:from>
      <cdr:x>0.7677</cdr:x>
      <cdr:y>0.49206</cdr:y>
    </cdr:from>
    <cdr:to>
      <cdr:x>0.97427</cdr:x>
      <cdr:y>0.82286</cdr:y>
    </cdr:to>
    <cdr:sp macro="" textlink="">
      <cdr:nvSpPr>
        <cdr:cNvPr id="2" name="Retângulo 1"/>
        <cdr:cNvSpPr/>
      </cdr:nvSpPr>
      <cdr:spPr bwMode="auto">
        <a:xfrm xmlns:a="http://schemas.openxmlformats.org/drawingml/2006/main">
          <a:off x="7395427" y="2942683"/>
          <a:ext cx="1995521" cy="1979907"/>
        </a:xfrm>
        <a:prstGeom xmlns:a="http://schemas.openxmlformats.org/drawingml/2006/main" prst="rect">
          <a:avLst/>
        </a:prstGeom>
        <a:solidFill xmlns:a="http://schemas.openxmlformats.org/drawingml/2006/main">
          <a:srgbClr val="FF0000">
            <a:alpha val="46000"/>
          </a:srgbClr>
        </a:solidFill>
        <a:ln xmlns:a="http://schemas.openxmlformats.org/drawingml/2006/main" w="9525" cap="flat" cmpd="sng" algn="ctr">
          <a:solidFill>
            <a:srgbClr val="000000">
              <a:alpha val="36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rtlCol="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BR" sz="1100"/>
        </a:p>
      </cdr:txBody>
    </cdr:sp>
  </cdr:relSizeAnchor>
  <cdr:relSizeAnchor xmlns:cdr="http://schemas.openxmlformats.org/drawingml/2006/chartDrawing">
    <cdr:from>
      <cdr:x>0.08201</cdr:x>
      <cdr:y>0.06146</cdr:y>
    </cdr:from>
    <cdr:to>
      <cdr:x>0.3916</cdr:x>
      <cdr:y>0.48795</cdr:y>
    </cdr:to>
    <cdr:sp macro="" textlink="">
      <cdr:nvSpPr>
        <cdr:cNvPr id="3" name="Retângulo 2"/>
        <cdr:cNvSpPr/>
      </cdr:nvSpPr>
      <cdr:spPr bwMode="auto">
        <a:xfrm xmlns:a="http://schemas.openxmlformats.org/drawingml/2006/main">
          <a:off x="786471" y="368300"/>
          <a:ext cx="2984809" cy="2551151"/>
        </a:xfrm>
        <a:prstGeom xmlns:a="http://schemas.openxmlformats.org/drawingml/2006/main" prst="rect">
          <a:avLst/>
        </a:prstGeom>
        <a:solidFill xmlns:a="http://schemas.openxmlformats.org/drawingml/2006/main">
          <a:srgbClr val="00B050">
            <a:alpha val="46000"/>
          </a:srgbClr>
        </a:solidFill>
        <a:ln xmlns:a="http://schemas.openxmlformats.org/drawingml/2006/main" w="9525" cap="flat" cmpd="sng" algn="ctr">
          <a:solidFill>
            <a:srgbClr val="00B050">
              <a:alpha val="36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rtlCol="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BR" sz="1100"/>
        </a:p>
      </cdr:txBody>
    </cdr:sp>
  </cdr:relSizeAnchor>
  <cdr:relSizeAnchor xmlns:cdr="http://schemas.openxmlformats.org/drawingml/2006/chartDrawing">
    <cdr:from>
      <cdr:x>0.39435</cdr:x>
      <cdr:y>0.43956</cdr:y>
    </cdr:from>
    <cdr:to>
      <cdr:x>0.76424</cdr:x>
      <cdr:y>0.64591</cdr:y>
    </cdr:to>
    <cdr:sp macro="" textlink="">
      <cdr:nvSpPr>
        <cdr:cNvPr id="4" name="Retângulo 3"/>
        <cdr:cNvSpPr/>
      </cdr:nvSpPr>
      <cdr:spPr bwMode="auto">
        <a:xfrm xmlns:a="http://schemas.openxmlformats.org/drawingml/2006/main">
          <a:off x="3797773" y="2629790"/>
          <a:ext cx="3566677" cy="1234109"/>
        </a:xfrm>
        <a:prstGeom xmlns:a="http://schemas.openxmlformats.org/drawingml/2006/main" prst="rect">
          <a:avLst/>
        </a:prstGeom>
        <a:solidFill xmlns:a="http://schemas.openxmlformats.org/drawingml/2006/main">
          <a:srgbClr val="0070C0">
            <a:alpha val="46000"/>
          </a:srgbClr>
        </a:solidFill>
        <a:ln xmlns:a="http://schemas.openxmlformats.org/drawingml/2006/main" w="9525" cap="flat" cmpd="sng" algn="ctr">
          <a:solidFill>
            <a:srgbClr val="00B050">
              <a:alpha val="36000"/>
            </a:srgbClr>
          </a:solidFill>
          <a:prstDash val="solid"/>
          <a:round/>
          <a:headEnd type="none" w="med" len="med"/>
          <a:tailEnd type="none" w="med" len="med"/>
        </a:ln>
        <a:effectLst xmlns:a="http://schemas.openxmlformats.org/drawingml/2006/main"/>
      </cdr:spPr>
      <cdr:txBody>
        <a:bodyPr xmlns:a="http://schemas.openxmlformats.org/drawingml/2006/main" wrap="square" lIns="18288" tIns="0" rIns="0" bIns="0" rtlCol="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l"/>
          <a:endParaRPr lang="pt-BR" sz="1100"/>
        </a:p>
      </cdr:txBody>
    </cdr:sp>
  </cdr:relSizeAnchor>
  <cdr:relSizeAnchor xmlns:cdr="http://schemas.openxmlformats.org/drawingml/2006/chartDrawing">
    <cdr:from>
      <cdr:x>0.09095</cdr:x>
      <cdr:y>0.1098</cdr:y>
    </cdr:from>
    <cdr:to>
      <cdr:x>0.38253</cdr:x>
      <cdr:y>0.1774</cdr:y>
    </cdr:to>
    <cdr:sp macro="" textlink="">
      <cdr:nvSpPr>
        <cdr:cNvPr id="5" name="CaixaDeTexto 8"/>
        <cdr:cNvSpPr txBox="1"/>
      </cdr:nvSpPr>
      <cdr:spPr>
        <a:xfrm xmlns:a="http://schemas.openxmlformats.org/drawingml/2006/main">
          <a:off x="876001" y="658464"/>
          <a:ext cx="2808398" cy="40536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36,25% das</a:t>
          </a:r>
          <a:r>
            <a:rPr lang="pt-B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Lâminas </a:t>
          </a:r>
          <a:r>
            <a:rPr lang="pt-B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variando de 6,21 a 13,21</a:t>
          </a:r>
          <a:r>
            <a:rPr lang="pt-B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mm </a:t>
          </a:r>
          <a:endParaRPr lang="pt-BR" sz="1000">
            <a:effectLst/>
          </a:endParaRPr>
        </a:p>
        <a:p xmlns:a="http://schemas.openxmlformats.org/drawingml/2006/main">
          <a:endParaRPr lang="pt-BR" sz="1000"/>
        </a:p>
      </cdr:txBody>
    </cdr:sp>
  </cdr:relSizeAnchor>
  <cdr:relSizeAnchor xmlns:cdr="http://schemas.openxmlformats.org/drawingml/2006/chartDrawing">
    <cdr:from>
      <cdr:x>0.44041</cdr:x>
      <cdr:y>0.52561</cdr:y>
    </cdr:from>
    <cdr:to>
      <cdr:x>0.72524</cdr:x>
      <cdr:y>0.59321</cdr:y>
    </cdr:to>
    <cdr:sp macro="" textlink="">
      <cdr:nvSpPr>
        <cdr:cNvPr id="6" name="CaixaDeTexto 9"/>
        <cdr:cNvSpPr txBox="1"/>
      </cdr:nvSpPr>
      <cdr:spPr>
        <a:xfrm xmlns:a="http://schemas.openxmlformats.org/drawingml/2006/main">
          <a:off x="4241888" y="3152052"/>
          <a:ext cx="2743380" cy="405367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38,75% das</a:t>
          </a:r>
          <a:r>
            <a:rPr lang="pt-B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Lâminas </a:t>
          </a:r>
          <a:r>
            <a:rPr lang="pt-B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variando de 5,09 a 6,05</a:t>
          </a:r>
          <a:r>
            <a:rPr lang="pt-B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mm </a:t>
          </a:r>
          <a:endParaRPr lang="pt-BR" sz="1000">
            <a:effectLst/>
          </a:endParaRPr>
        </a:p>
        <a:p xmlns:a="http://schemas.openxmlformats.org/drawingml/2006/main">
          <a:endParaRPr lang="pt-BR" sz="1000"/>
        </a:p>
      </cdr:txBody>
    </cdr:sp>
  </cdr:relSizeAnchor>
  <cdr:relSizeAnchor xmlns:cdr="http://schemas.openxmlformats.org/drawingml/2006/chartDrawing">
    <cdr:from>
      <cdr:x>0.77071</cdr:x>
      <cdr:y>0.58406</cdr:y>
    </cdr:from>
    <cdr:to>
      <cdr:x>0.89543</cdr:x>
      <cdr:y>0.6867</cdr:y>
    </cdr:to>
    <cdr:sp macro="" textlink="">
      <cdr:nvSpPr>
        <cdr:cNvPr id="7" name="CaixaDeTexto 10"/>
        <cdr:cNvSpPr txBox="1"/>
      </cdr:nvSpPr>
      <cdr:spPr>
        <a:xfrm xmlns:a="http://schemas.openxmlformats.org/drawingml/2006/main">
          <a:off x="7426836" y="3493225"/>
          <a:ext cx="1200978" cy="61457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square" rtlCol="0" anchor="t">
          <a:no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25,00% das</a:t>
          </a:r>
          <a:r>
            <a:rPr lang="pt-B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Lâminas </a:t>
          </a:r>
          <a:r>
            <a:rPr lang="pt-BR" sz="100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variando de 0,64 a 4,93</a:t>
          </a:r>
          <a:r>
            <a:rPr lang="pt-BR" sz="1000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mm </a:t>
          </a:r>
          <a:endParaRPr lang="pt-BR" sz="1000">
            <a:effectLst/>
          </a:endParaRPr>
        </a:p>
        <a:p xmlns:a="http://schemas.openxmlformats.org/drawingml/2006/main">
          <a:endParaRPr lang="pt-BR" sz="1000"/>
        </a:p>
      </cdr:txBody>
    </cdr:sp>
  </cdr:relSizeAnchor>
  <cdr:relSizeAnchor xmlns:cdr="http://schemas.openxmlformats.org/drawingml/2006/chartDrawing">
    <cdr:from>
      <cdr:x>0.16624</cdr:x>
      <cdr:y>0.20666</cdr:y>
    </cdr:from>
    <cdr:to>
      <cdr:x>0.30068</cdr:x>
      <cdr:y>0.24816</cdr:y>
    </cdr:to>
    <cdr:sp macro="" textlink="">
      <cdr:nvSpPr>
        <cdr:cNvPr id="8" name="CaixaDeTexto 11"/>
        <cdr:cNvSpPr txBox="1"/>
      </cdr:nvSpPr>
      <cdr:spPr>
        <a:xfrm xmlns:a="http://schemas.openxmlformats.org/drawingml/2006/main">
          <a:off x="1601170" y="1239328"/>
          <a:ext cx="1294842" cy="24885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ZONA DE SUPERAVIT</a:t>
          </a:r>
          <a:endParaRPr lang="pt-BR" sz="1000" b="1"/>
        </a:p>
      </cdr:txBody>
    </cdr:sp>
  </cdr:relSizeAnchor>
  <cdr:relSizeAnchor xmlns:cdr="http://schemas.openxmlformats.org/drawingml/2006/chartDrawing">
    <cdr:from>
      <cdr:x>0.52713</cdr:x>
      <cdr:y>0.56647</cdr:y>
    </cdr:from>
    <cdr:to>
      <cdr:x>0.63379</cdr:x>
      <cdr:y>0.60797</cdr:y>
    </cdr:to>
    <cdr:sp macro="" textlink="">
      <cdr:nvSpPr>
        <cdr:cNvPr id="9" name="CaixaDeTexto 12"/>
        <cdr:cNvSpPr txBox="1"/>
      </cdr:nvSpPr>
      <cdr:spPr>
        <a:xfrm xmlns:a="http://schemas.openxmlformats.org/drawingml/2006/main">
          <a:off x="5077147" y="3397087"/>
          <a:ext cx="1027333" cy="24885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ZONA DO</a:t>
          </a:r>
          <a:r>
            <a:rPr lang="pt-BR" sz="1000" b="1" baseline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pt-B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iDEAL</a:t>
          </a:r>
          <a:endParaRPr lang="pt-BR" sz="1000" b="1"/>
        </a:p>
      </cdr:txBody>
    </cdr:sp>
  </cdr:relSizeAnchor>
  <cdr:relSizeAnchor xmlns:cdr="http://schemas.openxmlformats.org/drawingml/2006/chartDrawing">
    <cdr:from>
      <cdr:x>0.77225</cdr:x>
      <cdr:y>0.6885</cdr:y>
    </cdr:from>
    <cdr:to>
      <cdr:x>0.88628</cdr:x>
      <cdr:y>0.73</cdr:y>
    </cdr:to>
    <cdr:sp macro="" textlink="">
      <cdr:nvSpPr>
        <cdr:cNvPr id="10" name="CaixaDeTexto 13"/>
        <cdr:cNvSpPr txBox="1"/>
      </cdr:nvSpPr>
      <cdr:spPr>
        <a:xfrm xmlns:a="http://schemas.openxmlformats.org/drawingml/2006/main">
          <a:off x="7438065" y="4128893"/>
          <a:ext cx="1098314" cy="248851"/>
        </a:xfrm>
        <a:prstGeom xmlns:a="http://schemas.openxmlformats.org/drawingml/2006/main" prst="rect">
          <a:avLst/>
        </a:prstGeom>
        <a:noFill xmlns:a="http://schemas.openxmlformats.org/drawingml/2006/main"/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tx1"/>
        </a:fontRef>
      </cdr:style>
      <cdr:txBody>
        <a:bodyPr xmlns:a="http://schemas.openxmlformats.org/drawingml/2006/main" wrap="none" rtlCol="0" anchor="t">
          <a:spAutoFit/>
        </a:bodyPr>
        <a:lstStyle xmlns:a="http://schemas.openxmlformats.org/drawingml/2006/main">
          <a:lvl1pPr marL="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tx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pt-BR" sz="1000" b="1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ZONA DE DÉFICIT</a:t>
          </a:r>
          <a:endParaRPr lang="pt-BR" sz="1000" b="1"/>
        </a:p>
      </cdr:txBody>
    </cdr:sp>
  </cdr:relSizeAnchor>
</c:userShape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1F898D1F-748D-4FDB-8AAA-4332FEFD47CA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7d094fa4-4175-4424-b2fb-f4bbf3dbdaf0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4B2C51-1049-4BBB-A16E-298F188F1350}">
  <sheetPr>
    <tabColor rgb="FFEE0000"/>
  </sheetPr>
  <dimension ref="A1"/>
  <sheetViews>
    <sheetView zoomScaleNormal="100" workbookViewId="0">
      <selection activeCell="O53" sqref="O53"/>
    </sheetView>
  </sheetViews>
  <sheetFormatPr defaultRowHeight="13.2" x14ac:dyDescent="0.25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E90EEF-6084-4008-AD80-19F8E4129AE1}">
  <sheetPr>
    <tabColor rgb="FFFFC000"/>
  </sheetPr>
  <dimension ref="A1:P178"/>
  <sheetViews>
    <sheetView showGridLines="0" tabSelected="1" zoomScale="40" zoomScaleNormal="40" workbookViewId="0">
      <pane ySplit="2" topLeftCell="A3" activePane="bottomLeft" state="frozen"/>
      <selection activeCell="B1" sqref="B1"/>
      <selection pane="bottomLeft" activeCell="S14" sqref="S14"/>
    </sheetView>
  </sheetViews>
  <sheetFormatPr defaultColWidth="9.109375" defaultRowHeight="20.399999999999999" x14ac:dyDescent="0.35"/>
  <cols>
    <col min="1" max="1" width="9.109375" style="5"/>
    <col min="2" max="2" width="17.44140625" style="5" customWidth="1"/>
    <col min="3" max="3" width="10.88671875" style="5" customWidth="1"/>
    <col min="4" max="6" width="11.6640625" style="5" customWidth="1"/>
    <col min="7" max="7" width="11" style="5" customWidth="1"/>
    <col min="8" max="8" width="15.6640625" style="5" customWidth="1"/>
    <col min="9" max="9" width="36.5546875" style="5" customWidth="1"/>
    <col min="10" max="10" width="22" style="5" customWidth="1"/>
    <col min="11" max="11" width="19.88671875" style="5" customWidth="1"/>
    <col min="12" max="12" width="25.109375" style="5" customWidth="1"/>
    <col min="13" max="13" width="36.88671875" style="5" customWidth="1"/>
    <col min="14" max="14" width="25.88671875" style="5" customWidth="1"/>
    <col min="15" max="15" width="30.33203125" style="5" customWidth="1"/>
    <col min="16" max="16" width="45.44140625" style="5" customWidth="1"/>
    <col min="17" max="16384" width="9.109375" style="5"/>
  </cols>
  <sheetData>
    <row r="1" spans="1:16" x14ac:dyDescent="0.35">
      <c r="A1" s="7" t="s">
        <v>0</v>
      </c>
      <c r="B1" s="53" t="s">
        <v>62</v>
      </c>
      <c r="C1" s="157" t="s">
        <v>2</v>
      </c>
      <c r="D1" s="157"/>
      <c r="E1" s="157"/>
      <c r="F1" s="158"/>
      <c r="G1" s="159" t="s">
        <v>5</v>
      </c>
      <c r="H1" s="147" t="s">
        <v>67</v>
      </c>
      <c r="I1" s="147" t="s">
        <v>64</v>
      </c>
      <c r="J1" s="147" t="s">
        <v>22</v>
      </c>
      <c r="K1" s="154" t="s">
        <v>60</v>
      </c>
      <c r="L1" s="36" t="s">
        <v>6</v>
      </c>
      <c r="M1" s="6" t="s">
        <v>6</v>
      </c>
      <c r="N1" s="154" t="s">
        <v>57</v>
      </c>
      <c r="O1" s="145" t="s">
        <v>61</v>
      </c>
      <c r="P1" s="156" t="s">
        <v>8</v>
      </c>
    </row>
    <row r="2" spans="1:16" ht="21" thickBot="1" x14ac:dyDescent="0.4">
      <c r="A2" s="34" t="s">
        <v>1</v>
      </c>
      <c r="B2" s="54" t="s">
        <v>7</v>
      </c>
      <c r="C2" s="35" t="s">
        <v>3</v>
      </c>
      <c r="D2" s="50" t="s">
        <v>4</v>
      </c>
      <c r="E2" s="50" t="s">
        <v>32</v>
      </c>
      <c r="F2" s="51" t="s">
        <v>33</v>
      </c>
      <c r="G2" s="160"/>
      <c r="H2" s="148"/>
      <c r="I2" s="148"/>
      <c r="J2" s="148"/>
      <c r="K2" s="155"/>
      <c r="L2" s="52" t="s">
        <v>55</v>
      </c>
      <c r="M2" s="50" t="s">
        <v>56</v>
      </c>
      <c r="N2" s="155"/>
      <c r="O2" s="146"/>
      <c r="P2" s="153"/>
    </row>
    <row r="3" spans="1:16" x14ac:dyDescent="0.35">
      <c r="A3" s="49" t="s">
        <v>38</v>
      </c>
      <c r="B3" s="57">
        <v>1</v>
      </c>
      <c r="C3" s="58">
        <v>0</v>
      </c>
      <c r="D3" s="59">
        <v>0</v>
      </c>
      <c r="E3" s="59">
        <v>0</v>
      </c>
      <c r="F3" s="60">
        <v>0</v>
      </c>
      <c r="G3" s="61">
        <f>(C3+D3+E3+F3)/4</f>
        <v>0</v>
      </c>
      <c r="H3" s="62">
        <v>5</v>
      </c>
      <c r="I3" s="62">
        <f>$P$6</f>
        <v>5.828692307450476</v>
      </c>
      <c r="J3" s="62">
        <f>$P$21</f>
        <v>6.563699999999999</v>
      </c>
      <c r="K3" s="62">
        <f>(G3/78.54*10)</f>
        <v>0</v>
      </c>
      <c r="L3" s="62">
        <f>K3</f>
        <v>0</v>
      </c>
      <c r="M3" s="62">
        <f>B3*L3</f>
        <v>0</v>
      </c>
      <c r="N3" s="62">
        <f>B3*(ABS(L3-$P$6))</f>
        <v>5.828692307450476</v>
      </c>
      <c r="O3" s="63">
        <f>(3.1416*(H3^2))/10000</f>
        <v>7.8539999999999999E-3</v>
      </c>
      <c r="P3" s="152"/>
    </row>
    <row r="4" spans="1:16" ht="21" thickBot="1" x14ac:dyDescent="0.4">
      <c r="A4" s="13" t="s">
        <v>38</v>
      </c>
      <c r="B4" s="64">
        <v>2</v>
      </c>
      <c r="C4" s="65">
        <v>25</v>
      </c>
      <c r="D4" s="66">
        <v>25</v>
      </c>
      <c r="E4" s="66">
        <v>25</v>
      </c>
      <c r="F4" s="67">
        <v>25</v>
      </c>
      <c r="G4" s="68">
        <f>(C4+D4+E4+F4)/4</f>
        <v>25</v>
      </c>
      <c r="H4" s="69">
        <v>10</v>
      </c>
      <c r="I4" s="69">
        <f>$P$6</f>
        <v>5.828692307450476</v>
      </c>
      <c r="J4" s="69">
        <f>$P$21</f>
        <v>6.563699999999999</v>
      </c>
      <c r="K4" s="69">
        <f>(G4/78.54*10)</f>
        <v>3.1830914183855357</v>
      </c>
      <c r="L4" s="69">
        <f>K4</f>
        <v>3.1830914183855357</v>
      </c>
      <c r="M4" s="69">
        <f>B4*L4</f>
        <v>6.3661828367710713</v>
      </c>
      <c r="N4" s="69">
        <f>B4*(ABS(L4-$P$6))</f>
        <v>5.2912017781298806</v>
      </c>
      <c r="O4" s="70">
        <f t="shared" ref="O4:O12" si="0">(3.1416*(H4^2))/10000</f>
        <v>3.1415999999999999E-2</v>
      </c>
      <c r="P4" s="153"/>
    </row>
    <row r="5" spans="1:16" ht="21" x14ac:dyDescent="0.4">
      <c r="A5" s="13" t="s">
        <v>38</v>
      </c>
      <c r="B5" s="64">
        <v>3</v>
      </c>
      <c r="C5" s="65">
        <v>60</v>
      </c>
      <c r="D5" s="66">
        <v>50</v>
      </c>
      <c r="E5" s="66">
        <v>45</v>
      </c>
      <c r="F5" s="67">
        <v>40</v>
      </c>
      <c r="G5" s="68">
        <f t="shared" ref="G5:G81" si="1">(C5+D5+E5+F5)/4</f>
        <v>48.75</v>
      </c>
      <c r="H5" s="69">
        <v>15</v>
      </c>
      <c r="I5" s="69">
        <f t="shared" ref="I5:I34" si="2">$P$6</f>
        <v>5.828692307450476</v>
      </c>
      <c r="J5" s="69">
        <f t="shared" ref="J5:J68" si="3">$P$21</f>
        <v>6.563699999999999</v>
      </c>
      <c r="K5" s="69">
        <f>(G5/78.54*10)</f>
        <v>6.207028265851795</v>
      </c>
      <c r="L5" s="69">
        <f>K5</f>
        <v>6.207028265851795</v>
      </c>
      <c r="M5" s="69">
        <f>B5*L5</f>
        <v>18.621084797555383</v>
      </c>
      <c r="N5" s="69">
        <f>B5*(ABS(L5-$P$6))</f>
        <v>1.1350078752039572</v>
      </c>
      <c r="O5" s="70">
        <f t="shared" si="0"/>
        <v>7.0685999999999999E-2</v>
      </c>
      <c r="P5" s="39" t="s">
        <v>58</v>
      </c>
    </row>
    <row r="6" spans="1:16" ht="21.6" thickBot="1" x14ac:dyDescent="0.45">
      <c r="A6" s="13" t="s">
        <v>38</v>
      </c>
      <c r="B6" s="64">
        <v>4</v>
      </c>
      <c r="C6" s="65">
        <v>50</v>
      </c>
      <c r="D6" s="66">
        <v>45</v>
      </c>
      <c r="E6" s="66">
        <v>40</v>
      </c>
      <c r="F6" s="67">
        <v>35</v>
      </c>
      <c r="G6" s="71">
        <f>(C6+D6+E6+F6)/4</f>
        <v>42.5</v>
      </c>
      <c r="H6" s="69">
        <v>20</v>
      </c>
      <c r="I6" s="69">
        <f t="shared" si="2"/>
        <v>5.828692307450476</v>
      </c>
      <c r="J6" s="69">
        <f t="shared" si="3"/>
        <v>6.563699999999999</v>
      </c>
      <c r="K6" s="69">
        <f t="shared" ref="K6:K83" si="4">(G6/78.54*10)</f>
        <v>5.4112554112554108</v>
      </c>
      <c r="L6" s="69">
        <f t="shared" ref="L6:L82" si="5">K6</f>
        <v>5.4112554112554108</v>
      </c>
      <c r="M6" s="69">
        <f t="shared" ref="M6:M34" si="6">B6*L6</f>
        <v>21.645021645021643</v>
      </c>
      <c r="N6" s="69">
        <f>B6*(ABS(L6-$P$6))</f>
        <v>1.6697475847802608</v>
      </c>
      <c r="O6" s="70">
        <f t="shared" si="0"/>
        <v>0.125664</v>
      </c>
      <c r="P6" s="40">
        <f>(M83/B83)</f>
        <v>5.828692307450476</v>
      </c>
    </row>
    <row r="7" spans="1:16" ht="21.6" thickBot="1" x14ac:dyDescent="0.45">
      <c r="A7" s="13" t="s">
        <v>38</v>
      </c>
      <c r="B7" s="64">
        <v>5</v>
      </c>
      <c r="C7" s="65">
        <v>45</v>
      </c>
      <c r="D7" s="66">
        <v>45</v>
      </c>
      <c r="E7" s="66">
        <v>40</v>
      </c>
      <c r="F7" s="67">
        <v>35</v>
      </c>
      <c r="G7" s="68">
        <f t="shared" si="1"/>
        <v>41.25</v>
      </c>
      <c r="H7" s="69">
        <v>25</v>
      </c>
      <c r="I7" s="69">
        <f t="shared" si="2"/>
        <v>5.828692307450476</v>
      </c>
      <c r="J7" s="69">
        <f t="shared" si="3"/>
        <v>6.563699999999999</v>
      </c>
      <c r="K7" s="69">
        <f>(G7/78.54*10)</f>
        <v>5.2521008403361336</v>
      </c>
      <c r="L7" s="69">
        <f t="shared" si="5"/>
        <v>5.2521008403361336</v>
      </c>
      <c r="M7" s="69">
        <f t="shared" si="6"/>
        <v>26.260504201680668</v>
      </c>
      <c r="N7" s="69">
        <f>B7*(ABS(L7-$P$6))</f>
        <v>2.882957335571712</v>
      </c>
      <c r="O7" s="70">
        <f t="shared" si="0"/>
        <v>0.19635</v>
      </c>
      <c r="P7" s="41"/>
    </row>
    <row r="8" spans="1:16" ht="21" x14ac:dyDescent="0.4">
      <c r="A8" s="13" t="s">
        <v>38</v>
      </c>
      <c r="B8" s="64">
        <v>6</v>
      </c>
      <c r="C8" s="65">
        <v>50</v>
      </c>
      <c r="D8" s="66">
        <v>50</v>
      </c>
      <c r="E8" s="66">
        <v>40</v>
      </c>
      <c r="F8" s="67">
        <v>40</v>
      </c>
      <c r="G8" s="68">
        <f t="shared" si="1"/>
        <v>45</v>
      </c>
      <c r="H8" s="69">
        <v>30</v>
      </c>
      <c r="I8" s="69">
        <f t="shared" si="2"/>
        <v>5.828692307450476</v>
      </c>
      <c r="J8" s="69">
        <f t="shared" si="3"/>
        <v>6.563699999999999</v>
      </c>
      <c r="K8" s="69">
        <f t="shared" si="4"/>
        <v>5.7295645530939643</v>
      </c>
      <c r="L8" s="69">
        <f t="shared" si="5"/>
        <v>5.7295645530939643</v>
      </c>
      <c r="M8" s="69">
        <f t="shared" si="6"/>
        <v>34.377387318563784</v>
      </c>
      <c r="N8" s="69">
        <f t="shared" ref="N8:N71" si="7">B8*(ABS(L8-$P$6))</f>
        <v>0.59476652613907</v>
      </c>
      <c r="O8" s="70">
        <f t="shared" si="0"/>
        <v>0.282744</v>
      </c>
      <c r="P8" s="42" t="s">
        <v>59</v>
      </c>
    </row>
    <row r="9" spans="1:16" ht="21.6" thickBot="1" x14ac:dyDescent="0.45">
      <c r="A9" s="13" t="s">
        <v>38</v>
      </c>
      <c r="B9" s="64">
        <v>7</v>
      </c>
      <c r="C9" s="65">
        <v>40</v>
      </c>
      <c r="D9" s="66">
        <v>40</v>
      </c>
      <c r="E9" s="66">
        <v>35</v>
      </c>
      <c r="F9" s="67">
        <v>35</v>
      </c>
      <c r="G9" s="68">
        <f t="shared" si="1"/>
        <v>37.5</v>
      </c>
      <c r="H9" s="69">
        <v>35</v>
      </c>
      <c r="I9" s="69">
        <f t="shared" si="2"/>
        <v>5.828692307450476</v>
      </c>
      <c r="J9" s="69">
        <f t="shared" si="3"/>
        <v>6.563699999999999</v>
      </c>
      <c r="K9" s="69">
        <f t="shared" si="4"/>
        <v>4.7746371275783037</v>
      </c>
      <c r="L9" s="69">
        <f t="shared" si="5"/>
        <v>4.7746371275783037</v>
      </c>
      <c r="M9" s="69">
        <f t="shared" si="6"/>
        <v>33.422459893048128</v>
      </c>
      <c r="N9" s="69">
        <f t="shared" si="7"/>
        <v>7.3783862591052056</v>
      </c>
      <c r="O9" s="70">
        <f t="shared" si="0"/>
        <v>0.38484600000000002</v>
      </c>
      <c r="P9" s="43" cm="1">
        <f t="array" ref="P9">AVERAGE(SMALL(L3:L82,_xlfn.SEQUENCE(ROUNDUP(COUNT(L3:L82)*0.25,0))))</f>
        <v>3.8515406162464982</v>
      </c>
    </row>
    <row r="10" spans="1:16" ht="21.6" thickBot="1" x14ac:dyDescent="0.45">
      <c r="A10" s="13" t="s">
        <v>38</v>
      </c>
      <c r="B10" s="64">
        <v>8</v>
      </c>
      <c r="C10" s="65">
        <v>35</v>
      </c>
      <c r="D10" s="66">
        <v>35</v>
      </c>
      <c r="E10" s="66">
        <v>35</v>
      </c>
      <c r="F10" s="67">
        <v>35</v>
      </c>
      <c r="G10" s="68">
        <f t="shared" si="1"/>
        <v>35</v>
      </c>
      <c r="H10" s="69">
        <v>40</v>
      </c>
      <c r="I10" s="69">
        <f t="shared" si="2"/>
        <v>5.828692307450476</v>
      </c>
      <c r="J10" s="69">
        <f t="shared" si="3"/>
        <v>6.563699999999999</v>
      </c>
      <c r="K10" s="69">
        <f t="shared" si="4"/>
        <v>4.4563279857397502</v>
      </c>
      <c r="L10" s="69">
        <f t="shared" si="5"/>
        <v>4.4563279857397502</v>
      </c>
      <c r="M10" s="69">
        <f t="shared" si="6"/>
        <v>35.650623885918002</v>
      </c>
      <c r="N10" s="69">
        <f t="shared" si="7"/>
        <v>10.978914573685806</v>
      </c>
      <c r="O10" s="70">
        <f t="shared" si="0"/>
        <v>0.50265599999999999</v>
      </c>
      <c r="P10" s="41"/>
    </row>
    <row r="11" spans="1:16" ht="21" x14ac:dyDescent="0.4">
      <c r="A11" s="13" t="s">
        <v>38</v>
      </c>
      <c r="B11" s="64">
        <v>9</v>
      </c>
      <c r="C11" s="65">
        <v>50</v>
      </c>
      <c r="D11" s="66">
        <v>50</v>
      </c>
      <c r="E11" s="66">
        <v>45</v>
      </c>
      <c r="F11" s="67">
        <v>50</v>
      </c>
      <c r="G11" s="68">
        <f t="shared" si="1"/>
        <v>48.75</v>
      </c>
      <c r="H11" s="69">
        <v>45</v>
      </c>
      <c r="I11" s="69">
        <f t="shared" si="2"/>
        <v>5.828692307450476</v>
      </c>
      <c r="J11" s="69">
        <f t="shared" si="3"/>
        <v>6.563699999999999</v>
      </c>
      <c r="K11" s="69">
        <f t="shared" si="4"/>
        <v>6.207028265851795</v>
      </c>
      <c r="L11" s="69">
        <f t="shared" si="5"/>
        <v>6.207028265851795</v>
      </c>
      <c r="M11" s="69">
        <f t="shared" si="6"/>
        <v>55.863254392666157</v>
      </c>
      <c r="N11" s="69">
        <f t="shared" si="7"/>
        <v>3.4050236256118716</v>
      </c>
      <c r="O11" s="70">
        <f t="shared" si="0"/>
        <v>0.63617400000000002</v>
      </c>
      <c r="P11" s="44" t="s">
        <v>9</v>
      </c>
    </row>
    <row r="12" spans="1:16" ht="21.6" thickBot="1" x14ac:dyDescent="0.45">
      <c r="A12" s="13" t="s">
        <v>38</v>
      </c>
      <c r="B12" s="64">
        <v>10</v>
      </c>
      <c r="C12" s="65">
        <v>40</v>
      </c>
      <c r="D12" s="66">
        <v>40</v>
      </c>
      <c r="E12" s="66">
        <v>40</v>
      </c>
      <c r="F12" s="67">
        <v>40</v>
      </c>
      <c r="G12" s="68">
        <f t="shared" si="1"/>
        <v>40</v>
      </c>
      <c r="H12" s="69">
        <v>50</v>
      </c>
      <c r="I12" s="69">
        <f t="shared" si="2"/>
        <v>5.828692307450476</v>
      </c>
      <c r="J12" s="69">
        <f t="shared" si="3"/>
        <v>6.563699999999999</v>
      </c>
      <c r="K12" s="69">
        <f t="shared" si="4"/>
        <v>5.0929462694168572</v>
      </c>
      <c r="L12" s="69">
        <f t="shared" si="5"/>
        <v>5.0929462694168572</v>
      </c>
      <c r="M12" s="69">
        <f t="shared" si="6"/>
        <v>50.929462694168571</v>
      </c>
      <c r="N12" s="69">
        <f t="shared" si="7"/>
        <v>7.3574603803361871</v>
      </c>
      <c r="O12" s="70">
        <f t="shared" si="0"/>
        <v>0.78539999999999999</v>
      </c>
      <c r="P12" s="40">
        <f>(1-(N83/(P6*B83)))*100</f>
        <v>77.484376199759893</v>
      </c>
    </row>
    <row r="13" spans="1:16" ht="21.6" thickBot="1" x14ac:dyDescent="0.45">
      <c r="A13" s="13" t="s">
        <v>39</v>
      </c>
      <c r="B13" s="64">
        <v>11</v>
      </c>
      <c r="C13" s="65">
        <v>40</v>
      </c>
      <c r="D13" s="66">
        <v>40</v>
      </c>
      <c r="E13" s="66">
        <v>35</v>
      </c>
      <c r="F13" s="67">
        <v>35</v>
      </c>
      <c r="G13" s="68">
        <f t="shared" si="1"/>
        <v>37.5</v>
      </c>
      <c r="H13" s="69">
        <v>55</v>
      </c>
      <c r="I13" s="69">
        <f t="shared" si="2"/>
        <v>5.828692307450476</v>
      </c>
      <c r="J13" s="69">
        <f t="shared" si="3"/>
        <v>6.563699999999999</v>
      </c>
      <c r="K13" s="69">
        <f t="shared" si="4"/>
        <v>4.7746371275783037</v>
      </c>
      <c r="L13" s="69">
        <f t="shared" si="5"/>
        <v>4.7746371275783037</v>
      </c>
      <c r="M13" s="69">
        <f t="shared" si="6"/>
        <v>52.521008403361343</v>
      </c>
      <c r="N13" s="69">
        <f t="shared" si="7"/>
        <v>11.594606978593895</v>
      </c>
      <c r="O13" s="70">
        <f t="shared" ref="O13:O76" si="8">(3.1416*(H13^2))/10000</f>
        <v>0.95033400000000001</v>
      </c>
      <c r="P13" s="41"/>
    </row>
    <row r="14" spans="1:16" ht="21" x14ac:dyDescent="0.4">
      <c r="A14" s="13" t="s">
        <v>39</v>
      </c>
      <c r="B14" s="64">
        <v>12</v>
      </c>
      <c r="C14" s="65">
        <v>40</v>
      </c>
      <c r="D14" s="66">
        <v>40</v>
      </c>
      <c r="E14" s="66">
        <v>40</v>
      </c>
      <c r="F14" s="67">
        <v>40</v>
      </c>
      <c r="G14" s="68">
        <f t="shared" si="1"/>
        <v>40</v>
      </c>
      <c r="H14" s="69">
        <v>60</v>
      </c>
      <c r="I14" s="69">
        <f t="shared" si="2"/>
        <v>5.828692307450476</v>
      </c>
      <c r="J14" s="69">
        <f t="shared" si="3"/>
        <v>6.563699999999999</v>
      </c>
      <c r="K14" s="69">
        <f t="shared" si="4"/>
        <v>5.0929462694168572</v>
      </c>
      <c r="L14" s="69">
        <f t="shared" si="5"/>
        <v>5.0929462694168572</v>
      </c>
      <c r="M14" s="69">
        <f t="shared" si="6"/>
        <v>61.11535523300229</v>
      </c>
      <c r="N14" s="69">
        <f t="shared" si="7"/>
        <v>8.8289524564034245</v>
      </c>
      <c r="O14" s="70">
        <f t="shared" si="8"/>
        <v>1.130976</v>
      </c>
      <c r="P14" s="44" t="s">
        <v>10</v>
      </c>
    </row>
    <row r="15" spans="1:16" ht="21.6" thickBot="1" x14ac:dyDescent="0.45">
      <c r="A15" s="13" t="s">
        <v>39</v>
      </c>
      <c r="B15" s="64">
        <v>13</v>
      </c>
      <c r="C15" s="65">
        <v>35</v>
      </c>
      <c r="D15" s="66">
        <v>35</v>
      </c>
      <c r="E15" s="66">
        <v>45</v>
      </c>
      <c r="F15" s="67">
        <v>45</v>
      </c>
      <c r="G15" s="68">
        <f t="shared" si="1"/>
        <v>40</v>
      </c>
      <c r="H15" s="69">
        <v>65</v>
      </c>
      <c r="I15" s="69">
        <f t="shared" si="2"/>
        <v>5.828692307450476</v>
      </c>
      <c r="J15" s="69">
        <f t="shared" si="3"/>
        <v>6.563699999999999</v>
      </c>
      <c r="K15" s="69">
        <f t="shared" si="4"/>
        <v>5.0929462694168572</v>
      </c>
      <c r="L15" s="69">
        <f t="shared" si="5"/>
        <v>5.0929462694168572</v>
      </c>
      <c r="M15" s="69">
        <f t="shared" si="6"/>
        <v>66.208301502419147</v>
      </c>
      <c r="N15" s="69">
        <f t="shared" si="7"/>
        <v>9.5646984944370423</v>
      </c>
      <c r="O15" s="70">
        <f t="shared" si="8"/>
        <v>1.327326</v>
      </c>
      <c r="P15" s="40">
        <f>P9/P6*100</f>
        <v>66.078983296532897</v>
      </c>
    </row>
    <row r="16" spans="1:16" ht="21.6" thickBot="1" x14ac:dyDescent="0.45">
      <c r="A16" s="13" t="s">
        <v>39</v>
      </c>
      <c r="B16" s="64">
        <v>14</v>
      </c>
      <c r="C16" s="65">
        <v>40</v>
      </c>
      <c r="D16" s="66">
        <v>40</v>
      </c>
      <c r="E16" s="66">
        <v>35</v>
      </c>
      <c r="F16" s="67">
        <v>35</v>
      </c>
      <c r="G16" s="68">
        <f t="shared" si="1"/>
        <v>37.5</v>
      </c>
      <c r="H16" s="69">
        <v>70</v>
      </c>
      <c r="I16" s="69">
        <f t="shared" si="2"/>
        <v>5.828692307450476</v>
      </c>
      <c r="J16" s="69">
        <f t="shared" si="3"/>
        <v>6.563699999999999</v>
      </c>
      <c r="K16" s="69">
        <f t="shared" si="4"/>
        <v>4.7746371275783037</v>
      </c>
      <c r="L16" s="69">
        <f t="shared" si="5"/>
        <v>4.7746371275783037</v>
      </c>
      <c r="M16" s="69">
        <f t="shared" si="6"/>
        <v>66.844919786096256</v>
      </c>
      <c r="N16" s="69">
        <f t="shared" si="7"/>
        <v>14.756772518210411</v>
      </c>
      <c r="O16" s="70">
        <f t="shared" si="8"/>
        <v>1.5393840000000001</v>
      </c>
      <c r="P16" s="41"/>
    </row>
    <row r="17" spans="1:16" ht="21" x14ac:dyDescent="0.4">
      <c r="A17" s="13" t="s">
        <v>39</v>
      </c>
      <c r="B17" s="64">
        <v>15</v>
      </c>
      <c r="C17" s="65">
        <v>35</v>
      </c>
      <c r="D17" s="72">
        <v>35</v>
      </c>
      <c r="E17" s="72">
        <v>35</v>
      </c>
      <c r="F17" s="72">
        <v>35</v>
      </c>
      <c r="G17" s="68">
        <f t="shared" si="1"/>
        <v>35</v>
      </c>
      <c r="H17" s="69">
        <v>75</v>
      </c>
      <c r="I17" s="69">
        <f t="shared" si="2"/>
        <v>5.828692307450476</v>
      </c>
      <c r="J17" s="69">
        <f t="shared" si="3"/>
        <v>6.563699999999999</v>
      </c>
      <c r="K17" s="69">
        <f t="shared" si="4"/>
        <v>4.4563279857397502</v>
      </c>
      <c r="L17" s="69">
        <f t="shared" si="5"/>
        <v>4.4563279857397502</v>
      </c>
      <c r="M17" s="69">
        <f t="shared" si="6"/>
        <v>66.844919786096256</v>
      </c>
      <c r="N17" s="69">
        <f t="shared" si="7"/>
        <v>20.585464825660885</v>
      </c>
      <c r="O17" s="70">
        <f t="shared" si="8"/>
        <v>1.76715</v>
      </c>
      <c r="P17" s="44" t="s">
        <v>11</v>
      </c>
    </row>
    <row r="18" spans="1:16" ht="21.6" thickBot="1" x14ac:dyDescent="0.45">
      <c r="A18" s="13" t="s">
        <v>39</v>
      </c>
      <c r="B18" s="64">
        <v>16</v>
      </c>
      <c r="C18" s="65">
        <v>65</v>
      </c>
      <c r="D18" s="66">
        <v>65</v>
      </c>
      <c r="E18" s="66">
        <v>50</v>
      </c>
      <c r="F18" s="67">
        <v>50</v>
      </c>
      <c r="G18" s="68">
        <f t="shared" si="1"/>
        <v>57.5</v>
      </c>
      <c r="H18" s="69">
        <v>80</v>
      </c>
      <c r="I18" s="69">
        <f>$P$6</f>
        <v>5.828692307450476</v>
      </c>
      <c r="J18" s="69">
        <f t="shared" si="3"/>
        <v>6.563699999999999</v>
      </c>
      <c r="K18" s="69">
        <f t="shared" si="4"/>
        <v>7.3211102622867319</v>
      </c>
      <c r="L18" s="69">
        <f t="shared" si="5"/>
        <v>7.3211102622867319</v>
      </c>
      <c r="M18" s="69">
        <f t="shared" si="6"/>
        <v>117.13776419658771</v>
      </c>
      <c r="N18" s="69">
        <f t="shared" si="7"/>
        <v>23.878687277380095</v>
      </c>
      <c r="O18" s="70">
        <f t="shared" si="8"/>
        <v>2.010624</v>
      </c>
      <c r="P18" s="40">
        <v>5.57</v>
      </c>
    </row>
    <row r="19" spans="1:16" ht="21.6" thickBot="1" x14ac:dyDescent="0.45">
      <c r="A19" s="13" t="s">
        <v>39</v>
      </c>
      <c r="B19" s="64">
        <v>17</v>
      </c>
      <c r="C19" s="65">
        <v>70</v>
      </c>
      <c r="D19" s="66">
        <v>65</v>
      </c>
      <c r="E19" s="66">
        <v>50</v>
      </c>
      <c r="F19" s="67">
        <v>50</v>
      </c>
      <c r="G19" s="68">
        <f t="shared" si="1"/>
        <v>58.75</v>
      </c>
      <c r="H19" s="69">
        <v>85</v>
      </c>
      <c r="I19" s="69">
        <f t="shared" si="2"/>
        <v>5.828692307450476</v>
      </c>
      <c r="J19" s="69">
        <f t="shared" si="3"/>
        <v>6.563699999999999</v>
      </c>
      <c r="K19" s="69">
        <f t="shared" si="4"/>
        <v>7.4802648332060091</v>
      </c>
      <c r="L19" s="69">
        <f t="shared" si="5"/>
        <v>7.4802648332060091</v>
      </c>
      <c r="M19" s="69">
        <f t="shared" si="6"/>
        <v>127.16450216450215</v>
      </c>
      <c r="N19" s="69">
        <f t="shared" si="7"/>
        <v>28.076732937844064</v>
      </c>
      <c r="O19" s="70">
        <f t="shared" si="8"/>
        <v>2.269806</v>
      </c>
      <c r="P19" s="41"/>
    </row>
    <row r="20" spans="1:16" ht="21" x14ac:dyDescent="0.4">
      <c r="A20" s="13" t="s">
        <v>39</v>
      </c>
      <c r="B20" s="64">
        <v>18</v>
      </c>
      <c r="C20" s="65">
        <v>45</v>
      </c>
      <c r="D20" s="66">
        <v>45</v>
      </c>
      <c r="E20" s="66">
        <v>30</v>
      </c>
      <c r="F20" s="67">
        <v>30</v>
      </c>
      <c r="G20" s="68">
        <f t="shared" si="1"/>
        <v>37.5</v>
      </c>
      <c r="H20" s="69">
        <v>90</v>
      </c>
      <c r="I20" s="69">
        <f t="shared" si="2"/>
        <v>5.828692307450476</v>
      </c>
      <c r="J20" s="69">
        <f t="shared" si="3"/>
        <v>6.563699999999999</v>
      </c>
      <c r="K20" s="69">
        <f t="shared" si="4"/>
        <v>4.7746371275783037</v>
      </c>
      <c r="L20" s="69">
        <f t="shared" si="5"/>
        <v>4.7746371275783037</v>
      </c>
      <c r="M20" s="69">
        <f t="shared" si="6"/>
        <v>85.943468296409463</v>
      </c>
      <c r="N20" s="69">
        <f t="shared" si="7"/>
        <v>18.9729932376991</v>
      </c>
      <c r="O20" s="70">
        <f t="shared" si="8"/>
        <v>2.5446960000000001</v>
      </c>
      <c r="P20" s="44" t="s">
        <v>17</v>
      </c>
    </row>
    <row r="21" spans="1:16" ht="21.6" thickBot="1" x14ac:dyDescent="0.45">
      <c r="A21" s="13" t="s">
        <v>39</v>
      </c>
      <c r="B21" s="64">
        <v>19</v>
      </c>
      <c r="C21" s="65">
        <v>45</v>
      </c>
      <c r="D21" s="66">
        <v>45</v>
      </c>
      <c r="E21" s="66">
        <v>40</v>
      </c>
      <c r="F21" s="67">
        <v>40</v>
      </c>
      <c r="G21" s="68">
        <f t="shared" si="1"/>
        <v>42.5</v>
      </c>
      <c r="H21" s="69">
        <v>95</v>
      </c>
      <c r="I21" s="69">
        <f t="shared" si="2"/>
        <v>5.828692307450476</v>
      </c>
      <c r="J21" s="69">
        <f t="shared" si="3"/>
        <v>6.563699999999999</v>
      </c>
      <c r="K21" s="69">
        <f t="shared" si="4"/>
        <v>5.4112554112554108</v>
      </c>
      <c r="L21" s="69">
        <f t="shared" si="5"/>
        <v>5.4112554112554108</v>
      </c>
      <c r="M21" s="69">
        <f t="shared" si="6"/>
        <v>102.8138528138528</v>
      </c>
      <c r="N21" s="69">
        <f t="shared" si="7"/>
        <v>7.9313010277062386</v>
      </c>
      <c r="O21" s="70">
        <f t="shared" si="8"/>
        <v>2.8352939999999998</v>
      </c>
      <c r="P21" s="40">
        <f>'Tabela de Controle do PC'!E8</f>
        <v>6.563699999999999</v>
      </c>
    </row>
    <row r="22" spans="1:16" ht="21.6" thickBot="1" x14ac:dyDescent="0.45">
      <c r="A22" s="13" t="s">
        <v>39</v>
      </c>
      <c r="B22" s="64">
        <v>20</v>
      </c>
      <c r="C22" s="65">
        <v>50</v>
      </c>
      <c r="D22" s="66">
        <v>50</v>
      </c>
      <c r="E22" s="66">
        <v>40</v>
      </c>
      <c r="F22" s="67">
        <v>40</v>
      </c>
      <c r="G22" s="68">
        <f t="shared" si="1"/>
        <v>45</v>
      </c>
      <c r="H22" s="69">
        <v>100</v>
      </c>
      <c r="I22" s="69">
        <f t="shared" si="2"/>
        <v>5.828692307450476</v>
      </c>
      <c r="J22" s="69">
        <f t="shared" si="3"/>
        <v>6.563699999999999</v>
      </c>
      <c r="K22" s="69">
        <f t="shared" si="4"/>
        <v>5.7295645530939643</v>
      </c>
      <c r="L22" s="69">
        <f t="shared" si="5"/>
        <v>5.7295645530939643</v>
      </c>
      <c r="M22" s="69">
        <f t="shared" si="6"/>
        <v>114.59129106187929</v>
      </c>
      <c r="N22" s="69">
        <f t="shared" si="7"/>
        <v>1.9825550871302333</v>
      </c>
      <c r="O22" s="70">
        <f t="shared" si="8"/>
        <v>3.1415999999999999</v>
      </c>
      <c r="P22" s="41"/>
    </row>
    <row r="23" spans="1:16" ht="21" x14ac:dyDescent="0.4">
      <c r="A23" s="13" t="s">
        <v>39</v>
      </c>
      <c r="B23" s="64">
        <v>21</v>
      </c>
      <c r="C23" s="65">
        <v>50</v>
      </c>
      <c r="D23" s="66">
        <v>50</v>
      </c>
      <c r="E23" s="66">
        <v>40</v>
      </c>
      <c r="F23" s="67">
        <v>40</v>
      </c>
      <c r="G23" s="68">
        <f t="shared" si="1"/>
        <v>45</v>
      </c>
      <c r="H23" s="69">
        <v>105</v>
      </c>
      <c r="I23" s="69">
        <f t="shared" si="2"/>
        <v>5.828692307450476</v>
      </c>
      <c r="J23" s="69">
        <f t="shared" si="3"/>
        <v>6.563699999999999</v>
      </c>
      <c r="K23" s="69">
        <f>(G23/78.54*10)</f>
        <v>5.7295645530939643</v>
      </c>
      <c r="L23" s="69">
        <f t="shared" si="5"/>
        <v>5.7295645530939643</v>
      </c>
      <c r="M23" s="69">
        <f t="shared" si="6"/>
        <v>120.32085561497325</v>
      </c>
      <c r="N23" s="69">
        <f t="shared" si="7"/>
        <v>2.081682841486745</v>
      </c>
      <c r="O23" s="70">
        <f t="shared" si="8"/>
        <v>3.4636139999999997</v>
      </c>
      <c r="P23" s="44" t="s">
        <v>12</v>
      </c>
    </row>
    <row r="24" spans="1:16" ht="21.6" thickBot="1" x14ac:dyDescent="0.45">
      <c r="A24" s="13" t="s">
        <v>40</v>
      </c>
      <c r="B24" s="64">
        <v>22</v>
      </c>
      <c r="C24" s="65">
        <v>70</v>
      </c>
      <c r="D24" s="66">
        <v>70</v>
      </c>
      <c r="E24" s="66">
        <v>30</v>
      </c>
      <c r="F24" s="67">
        <v>30</v>
      </c>
      <c r="G24" s="68">
        <f t="shared" si="1"/>
        <v>50</v>
      </c>
      <c r="H24" s="69">
        <v>110</v>
      </c>
      <c r="I24" s="69">
        <f t="shared" si="2"/>
        <v>5.828692307450476</v>
      </c>
      <c r="J24" s="69">
        <f t="shared" si="3"/>
        <v>6.563699999999999</v>
      </c>
      <c r="K24" s="69">
        <f t="shared" si="4"/>
        <v>6.3661828367710713</v>
      </c>
      <c r="L24" s="69">
        <f t="shared" si="5"/>
        <v>6.3661828367710713</v>
      </c>
      <c r="M24" s="69">
        <f t="shared" si="6"/>
        <v>140.05602240896357</v>
      </c>
      <c r="N24" s="69">
        <f t="shared" si="7"/>
        <v>11.824791645053098</v>
      </c>
      <c r="O24" s="70">
        <f t="shared" si="8"/>
        <v>3.801336</v>
      </c>
      <c r="P24" s="40">
        <f>P6/P21*100</f>
        <v>88.801930427205349</v>
      </c>
    </row>
    <row r="25" spans="1:16" ht="21.6" thickBot="1" x14ac:dyDescent="0.45">
      <c r="A25" s="13" t="s">
        <v>40</v>
      </c>
      <c r="B25" s="64">
        <v>23</v>
      </c>
      <c r="C25" s="65">
        <v>50</v>
      </c>
      <c r="D25" s="66">
        <v>65</v>
      </c>
      <c r="E25" s="66">
        <v>35</v>
      </c>
      <c r="F25" s="67">
        <v>45</v>
      </c>
      <c r="G25" s="68">
        <f t="shared" si="1"/>
        <v>48.75</v>
      </c>
      <c r="H25" s="69">
        <v>115</v>
      </c>
      <c r="I25" s="69">
        <f t="shared" si="2"/>
        <v>5.828692307450476</v>
      </c>
      <c r="J25" s="69">
        <f t="shared" si="3"/>
        <v>6.563699999999999</v>
      </c>
      <c r="K25" s="69">
        <f t="shared" si="4"/>
        <v>6.207028265851795</v>
      </c>
      <c r="L25" s="69">
        <f t="shared" si="5"/>
        <v>6.207028265851795</v>
      </c>
      <c r="M25" s="69">
        <f t="shared" si="6"/>
        <v>142.76165011459128</v>
      </c>
      <c r="N25" s="69">
        <f t="shared" si="7"/>
        <v>8.7017270432303384</v>
      </c>
      <c r="O25" s="70">
        <f t="shared" si="8"/>
        <v>4.1547659999999995</v>
      </c>
      <c r="P25" s="39"/>
    </row>
    <row r="26" spans="1:16" ht="21" x14ac:dyDescent="0.4">
      <c r="A26" s="13" t="s">
        <v>40</v>
      </c>
      <c r="B26" s="64">
        <v>24</v>
      </c>
      <c r="C26" s="65">
        <v>55</v>
      </c>
      <c r="D26" s="66">
        <v>55</v>
      </c>
      <c r="E26" s="66">
        <v>45</v>
      </c>
      <c r="F26" s="67">
        <v>45</v>
      </c>
      <c r="G26" s="68">
        <f t="shared" si="1"/>
        <v>50</v>
      </c>
      <c r="H26" s="69">
        <v>120</v>
      </c>
      <c r="I26" s="69">
        <f t="shared" si="2"/>
        <v>5.828692307450476</v>
      </c>
      <c r="J26" s="69">
        <f t="shared" si="3"/>
        <v>6.563699999999999</v>
      </c>
      <c r="K26" s="69">
        <f t="shared" si="4"/>
        <v>6.3661828367710713</v>
      </c>
      <c r="L26" s="69">
        <f t="shared" si="5"/>
        <v>6.3661828367710713</v>
      </c>
      <c r="M26" s="69">
        <f t="shared" si="6"/>
        <v>152.78838808250572</v>
      </c>
      <c r="N26" s="69">
        <f t="shared" si="7"/>
        <v>12.899772703694289</v>
      </c>
      <c r="O26" s="70">
        <f t="shared" si="8"/>
        <v>4.5239039999999999</v>
      </c>
      <c r="P26" s="44" t="s">
        <v>31</v>
      </c>
    </row>
    <row r="27" spans="1:16" ht="21.6" thickBot="1" x14ac:dyDescent="0.45">
      <c r="A27" s="13" t="s">
        <v>40</v>
      </c>
      <c r="B27" s="64">
        <v>25</v>
      </c>
      <c r="C27" s="65">
        <v>55</v>
      </c>
      <c r="D27" s="66">
        <v>50</v>
      </c>
      <c r="E27" s="66">
        <v>45</v>
      </c>
      <c r="F27" s="67">
        <v>45</v>
      </c>
      <c r="G27" s="68">
        <f t="shared" si="1"/>
        <v>48.75</v>
      </c>
      <c r="H27" s="69">
        <v>125</v>
      </c>
      <c r="I27" s="69">
        <f t="shared" si="2"/>
        <v>5.828692307450476</v>
      </c>
      <c r="J27" s="69">
        <f t="shared" si="3"/>
        <v>6.563699999999999</v>
      </c>
      <c r="K27" s="69">
        <f t="shared" si="4"/>
        <v>6.207028265851795</v>
      </c>
      <c r="L27" s="69">
        <f t="shared" si="5"/>
        <v>6.207028265851795</v>
      </c>
      <c r="M27" s="69">
        <f t="shared" si="6"/>
        <v>155.17570664629488</v>
      </c>
      <c r="N27" s="69">
        <f t="shared" si="7"/>
        <v>9.4583989600329765</v>
      </c>
      <c r="O27" s="70">
        <f t="shared" si="8"/>
        <v>4.9087500000000004</v>
      </c>
      <c r="P27" s="45">
        <v>1.81</v>
      </c>
    </row>
    <row r="28" spans="1:16" ht="21.6" thickBot="1" x14ac:dyDescent="0.45">
      <c r="A28" s="13" t="s">
        <v>40</v>
      </c>
      <c r="B28" s="64">
        <v>26</v>
      </c>
      <c r="C28" s="65">
        <v>55</v>
      </c>
      <c r="D28" s="66">
        <v>55</v>
      </c>
      <c r="E28" s="66">
        <v>25</v>
      </c>
      <c r="F28" s="67">
        <v>30</v>
      </c>
      <c r="G28" s="68">
        <f t="shared" si="1"/>
        <v>41.25</v>
      </c>
      <c r="H28" s="69">
        <v>130</v>
      </c>
      <c r="I28" s="69">
        <f t="shared" si="2"/>
        <v>5.828692307450476</v>
      </c>
      <c r="J28" s="69">
        <f t="shared" si="3"/>
        <v>6.563699999999999</v>
      </c>
      <c r="K28" s="69">
        <f t="shared" si="4"/>
        <v>5.2521008403361336</v>
      </c>
      <c r="L28" s="69">
        <f t="shared" si="5"/>
        <v>5.2521008403361336</v>
      </c>
      <c r="M28" s="69">
        <f t="shared" si="6"/>
        <v>136.55462184873949</v>
      </c>
      <c r="N28" s="69">
        <f t="shared" si="7"/>
        <v>14.991378144972902</v>
      </c>
      <c r="O28" s="70">
        <f t="shared" si="8"/>
        <v>5.309304</v>
      </c>
      <c r="P28" s="46"/>
    </row>
    <row r="29" spans="1:16" ht="21" x14ac:dyDescent="0.4">
      <c r="A29" s="13" t="s">
        <v>40</v>
      </c>
      <c r="B29" s="64">
        <v>27</v>
      </c>
      <c r="C29" s="65">
        <v>65</v>
      </c>
      <c r="D29" s="66">
        <v>65</v>
      </c>
      <c r="E29" s="66">
        <v>60</v>
      </c>
      <c r="F29" s="67">
        <v>65</v>
      </c>
      <c r="G29" s="68">
        <f t="shared" si="1"/>
        <v>63.75</v>
      </c>
      <c r="H29" s="69">
        <v>135</v>
      </c>
      <c r="I29" s="69">
        <f t="shared" si="2"/>
        <v>5.828692307450476</v>
      </c>
      <c r="J29" s="69">
        <f t="shared" si="3"/>
        <v>6.563699999999999</v>
      </c>
      <c r="K29" s="69">
        <f t="shared" si="4"/>
        <v>8.1168831168831161</v>
      </c>
      <c r="L29" s="69">
        <f t="shared" si="5"/>
        <v>8.1168831168831161</v>
      </c>
      <c r="M29" s="69">
        <f t="shared" si="6"/>
        <v>219.15584415584414</v>
      </c>
      <c r="N29" s="69">
        <f t="shared" si="7"/>
        <v>61.781151854681283</v>
      </c>
      <c r="O29" s="70">
        <f t="shared" si="8"/>
        <v>5.7255659999999997</v>
      </c>
      <c r="P29" s="47"/>
    </row>
    <row r="30" spans="1:16" ht="21.6" thickBot="1" x14ac:dyDescent="0.45">
      <c r="A30" s="13" t="s">
        <v>40</v>
      </c>
      <c r="B30" s="64">
        <v>28</v>
      </c>
      <c r="C30" s="65">
        <v>50</v>
      </c>
      <c r="D30" s="66">
        <v>50</v>
      </c>
      <c r="E30" s="66">
        <v>40</v>
      </c>
      <c r="F30" s="67">
        <v>40</v>
      </c>
      <c r="G30" s="68">
        <f t="shared" si="1"/>
        <v>45</v>
      </c>
      <c r="H30" s="69">
        <v>140</v>
      </c>
      <c r="I30" s="69">
        <f t="shared" si="2"/>
        <v>5.828692307450476</v>
      </c>
      <c r="J30" s="69">
        <f t="shared" si="3"/>
        <v>6.563699999999999</v>
      </c>
      <c r="K30" s="69">
        <f t="shared" si="4"/>
        <v>5.7295645530939643</v>
      </c>
      <c r="L30" s="69">
        <f t="shared" si="5"/>
        <v>5.7295645530939643</v>
      </c>
      <c r="M30" s="69">
        <f t="shared" si="6"/>
        <v>160.427807486631</v>
      </c>
      <c r="N30" s="69">
        <f t="shared" si="7"/>
        <v>2.7755771219823266</v>
      </c>
      <c r="O30" s="70">
        <f t="shared" si="8"/>
        <v>6.1575360000000003</v>
      </c>
      <c r="P30" s="48"/>
    </row>
    <row r="31" spans="1:16" ht="21" x14ac:dyDescent="0.4">
      <c r="A31" s="13" t="s">
        <v>40</v>
      </c>
      <c r="B31" s="64">
        <v>29</v>
      </c>
      <c r="C31" s="65">
        <v>80</v>
      </c>
      <c r="D31" s="66">
        <v>175</v>
      </c>
      <c r="E31" s="66">
        <v>75</v>
      </c>
      <c r="F31" s="67">
        <v>75</v>
      </c>
      <c r="G31" s="68">
        <f t="shared" si="1"/>
        <v>101.25</v>
      </c>
      <c r="H31" s="69">
        <v>145</v>
      </c>
      <c r="I31" s="69">
        <f t="shared" si="2"/>
        <v>5.828692307450476</v>
      </c>
      <c r="J31" s="69">
        <f t="shared" si="3"/>
        <v>6.563699999999999</v>
      </c>
      <c r="K31" s="69">
        <f t="shared" si="4"/>
        <v>12.891520244461422</v>
      </c>
      <c r="L31" s="69">
        <f t="shared" si="5"/>
        <v>12.891520244461422</v>
      </c>
      <c r="M31" s="69">
        <f t="shared" si="6"/>
        <v>373.85408708938121</v>
      </c>
      <c r="N31" s="69">
        <f t="shared" si="7"/>
        <v>204.82201017331744</v>
      </c>
      <c r="O31" s="70">
        <f t="shared" si="8"/>
        <v>6.6052140000000001</v>
      </c>
      <c r="P31" s="44"/>
    </row>
    <row r="32" spans="1:16" x14ac:dyDescent="0.35">
      <c r="A32" s="13" t="s">
        <v>40</v>
      </c>
      <c r="B32" s="64">
        <v>30</v>
      </c>
      <c r="C32" s="65">
        <v>45</v>
      </c>
      <c r="D32" s="66">
        <v>45</v>
      </c>
      <c r="E32" s="66">
        <v>35</v>
      </c>
      <c r="F32" s="67">
        <v>35</v>
      </c>
      <c r="G32" s="68">
        <f t="shared" si="1"/>
        <v>40</v>
      </c>
      <c r="H32" s="69">
        <v>150</v>
      </c>
      <c r="I32" s="69">
        <f t="shared" si="2"/>
        <v>5.828692307450476</v>
      </c>
      <c r="J32" s="69">
        <f t="shared" si="3"/>
        <v>6.563699999999999</v>
      </c>
      <c r="K32" s="69">
        <f>(G32/78.54*10)</f>
        <v>5.0929462694168572</v>
      </c>
      <c r="L32" s="69">
        <f t="shared" si="5"/>
        <v>5.0929462694168572</v>
      </c>
      <c r="M32" s="69">
        <f t="shared" si="6"/>
        <v>152.78838808250572</v>
      </c>
      <c r="N32" s="69">
        <f t="shared" si="7"/>
        <v>22.072381141008563</v>
      </c>
      <c r="O32" s="70">
        <f t="shared" si="8"/>
        <v>7.0686</v>
      </c>
      <c r="P32" s="37"/>
    </row>
    <row r="33" spans="1:16" x14ac:dyDescent="0.35">
      <c r="A33" s="13" t="s">
        <v>40</v>
      </c>
      <c r="B33" s="64">
        <v>31</v>
      </c>
      <c r="C33" s="65">
        <v>50</v>
      </c>
      <c r="D33" s="66">
        <v>55</v>
      </c>
      <c r="E33" s="66">
        <v>45</v>
      </c>
      <c r="F33" s="67">
        <v>45</v>
      </c>
      <c r="G33" s="68">
        <f t="shared" si="1"/>
        <v>48.75</v>
      </c>
      <c r="H33" s="69">
        <v>155</v>
      </c>
      <c r="I33" s="69">
        <f t="shared" si="2"/>
        <v>5.828692307450476</v>
      </c>
      <c r="J33" s="69">
        <f t="shared" si="3"/>
        <v>6.563699999999999</v>
      </c>
      <c r="K33" s="69">
        <f t="shared" si="4"/>
        <v>6.207028265851795</v>
      </c>
      <c r="L33" s="69">
        <f t="shared" si="5"/>
        <v>6.207028265851795</v>
      </c>
      <c r="M33" s="69">
        <f t="shared" si="6"/>
        <v>192.41787624140565</v>
      </c>
      <c r="N33" s="69">
        <f t="shared" si="7"/>
        <v>11.728414710440891</v>
      </c>
      <c r="O33" s="70">
        <f t="shared" si="8"/>
        <v>7.5476939999999999</v>
      </c>
      <c r="P33" s="37"/>
    </row>
    <row r="34" spans="1:16" x14ac:dyDescent="0.35">
      <c r="A34" s="13" t="s">
        <v>41</v>
      </c>
      <c r="B34" s="64">
        <v>32</v>
      </c>
      <c r="C34" s="65">
        <v>55</v>
      </c>
      <c r="D34" s="66">
        <v>55</v>
      </c>
      <c r="E34" s="66">
        <v>60</v>
      </c>
      <c r="F34" s="67">
        <v>55</v>
      </c>
      <c r="G34" s="68">
        <f t="shared" si="1"/>
        <v>56.25</v>
      </c>
      <c r="H34" s="69">
        <v>160</v>
      </c>
      <c r="I34" s="69">
        <f t="shared" si="2"/>
        <v>5.828692307450476</v>
      </c>
      <c r="J34" s="69">
        <f t="shared" si="3"/>
        <v>6.563699999999999</v>
      </c>
      <c r="K34" s="69">
        <f t="shared" si="4"/>
        <v>7.1619556913674556</v>
      </c>
      <c r="L34" s="69">
        <f t="shared" si="5"/>
        <v>7.1619556913674556</v>
      </c>
      <c r="M34" s="69">
        <f t="shared" si="6"/>
        <v>229.18258212375858</v>
      </c>
      <c r="N34" s="69">
        <f t="shared" si="7"/>
        <v>42.664428285343348</v>
      </c>
      <c r="O34" s="70">
        <f t="shared" si="8"/>
        <v>8.0424959999999999</v>
      </c>
      <c r="P34" s="38"/>
    </row>
    <row r="35" spans="1:16" x14ac:dyDescent="0.35">
      <c r="A35" s="13" t="s">
        <v>41</v>
      </c>
      <c r="B35" s="64">
        <v>33</v>
      </c>
      <c r="C35" s="65">
        <v>60</v>
      </c>
      <c r="D35" s="66">
        <v>60</v>
      </c>
      <c r="E35" s="66">
        <v>35</v>
      </c>
      <c r="F35" s="67">
        <v>35</v>
      </c>
      <c r="G35" s="68">
        <f t="shared" si="1"/>
        <v>47.5</v>
      </c>
      <c r="H35" s="69">
        <v>165</v>
      </c>
      <c r="I35" s="69">
        <f t="shared" ref="I35:I81" si="9">$P$6</f>
        <v>5.828692307450476</v>
      </c>
      <c r="J35" s="69">
        <f t="shared" si="3"/>
        <v>6.563699999999999</v>
      </c>
      <c r="K35" s="69">
        <f t="shared" si="4"/>
        <v>6.0478736949325187</v>
      </c>
      <c r="L35" s="69">
        <f t="shared" si="5"/>
        <v>6.0478736949325187</v>
      </c>
      <c r="M35" s="69">
        <f t="shared" ref="M35:M76" si="10">B35*L35</f>
        <v>199.57983193277312</v>
      </c>
      <c r="N35" s="69">
        <f t="shared" si="7"/>
        <v>7.2329857869074106</v>
      </c>
      <c r="O35" s="70">
        <f t="shared" si="8"/>
        <v>8.5530059999999999</v>
      </c>
      <c r="P35" s="38"/>
    </row>
    <row r="36" spans="1:16" x14ac:dyDescent="0.35">
      <c r="A36" s="13" t="s">
        <v>41</v>
      </c>
      <c r="B36" s="64">
        <v>34</v>
      </c>
      <c r="C36" s="65">
        <v>80</v>
      </c>
      <c r="D36" s="66">
        <v>80</v>
      </c>
      <c r="E36" s="66">
        <v>65</v>
      </c>
      <c r="F36" s="67">
        <v>60</v>
      </c>
      <c r="G36" s="68">
        <f t="shared" si="1"/>
        <v>71.25</v>
      </c>
      <c r="H36" s="69">
        <v>170</v>
      </c>
      <c r="I36" s="69">
        <f t="shared" si="9"/>
        <v>5.828692307450476</v>
      </c>
      <c r="J36" s="69">
        <f t="shared" si="3"/>
        <v>6.563699999999999</v>
      </c>
      <c r="K36" s="69">
        <f t="shared" si="4"/>
        <v>9.0718105423987776</v>
      </c>
      <c r="L36" s="69">
        <f t="shared" si="5"/>
        <v>9.0718105423987776</v>
      </c>
      <c r="M36" s="69">
        <f t="shared" si="10"/>
        <v>308.44155844155841</v>
      </c>
      <c r="N36" s="69">
        <f t="shared" si="7"/>
        <v>110.26601998824225</v>
      </c>
      <c r="O36" s="70">
        <f t="shared" si="8"/>
        <v>9.079224</v>
      </c>
      <c r="P36" s="38"/>
    </row>
    <row r="37" spans="1:16" x14ac:dyDescent="0.35">
      <c r="A37" s="13" t="s">
        <v>41</v>
      </c>
      <c r="B37" s="64">
        <v>35</v>
      </c>
      <c r="C37" s="65">
        <v>50</v>
      </c>
      <c r="D37" s="66">
        <v>50</v>
      </c>
      <c r="E37" s="66">
        <v>35</v>
      </c>
      <c r="F37" s="67">
        <v>35</v>
      </c>
      <c r="G37" s="68">
        <f t="shared" si="1"/>
        <v>42.5</v>
      </c>
      <c r="H37" s="69">
        <v>175</v>
      </c>
      <c r="I37" s="69">
        <f t="shared" si="9"/>
        <v>5.828692307450476</v>
      </c>
      <c r="J37" s="69">
        <f t="shared" si="3"/>
        <v>6.563699999999999</v>
      </c>
      <c r="K37" s="69">
        <f t="shared" si="4"/>
        <v>5.4112554112554108</v>
      </c>
      <c r="L37" s="69">
        <f t="shared" si="5"/>
        <v>5.4112554112554108</v>
      </c>
      <c r="M37" s="69">
        <f t="shared" si="10"/>
        <v>189.39393939393938</v>
      </c>
      <c r="N37" s="69">
        <f t="shared" si="7"/>
        <v>14.610291366827282</v>
      </c>
      <c r="O37" s="70">
        <f t="shared" si="8"/>
        <v>9.6211500000000001</v>
      </c>
      <c r="P37" s="38"/>
    </row>
    <row r="38" spans="1:16" x14ac:dyDescent="0.35">
      <c r="A38" s="13" t="s">
        <v>41</v>
      </c>
      <c r="B38" s="64">
        <v>36</v>
      </c>
      <c r="C38" s="65">
        <v>55</v>
      </c>
      <c r="D38" s="66">
        <v>50</v>
      </c>
      <c r="E38" s="66">
        <v>40</v>
      </c>
      <c r="F38" s="67">
        <v>40</v>
      </c>
      <c r="G38" s="68">
        <f t="shared" si="1"/>
        <v>46.25</v>
      </c>
      <c r="H38" s="69">
        <v>180</v>
      </c>
      <c r="I38" s="69">
        <f t="shared" si="9"/>
        <v>5.828692307450476</v>
      </c>
      <c r="J38" s="69">
        <f t="shared" si="3"/>
        <v>6.563699999999999</v>
      </c>
      <c r="K38" s="69">
        <f t="shared" si="4"/>
        <v>5.8887191240132406</v>
      </c>
      <c r="L38" s="69">
        <f t="shared" si="5"/>
        <v>5.8887191240132406</v>
      </c>
      <c r="M38" s="69">
        <f t="shared" si="10"/>
        <v>211.99388846447667</v>
      </c>
      <c r="N38" s="69">
        <f t="shared" si="7"/>
        <v>2.1609653962595274</v>
      </c>
      <c r="O38" s="70">
        <f t="shared" si="8"/>
        <v>10.178784</v>
      </c>
      <c r="P38" s="38"/>
    </row>
    <row r="39" spans="1:16" x14ac:dyDescent="0.35">
      <c r="A39" s="13" t="s">
        <v>41</v>
      </c>
      <c r="B39" s="64">
        <v>37</v>
      </c>
      <c r="C39" s="65">
        <v>75</v>
      </c>
      <c r="D39" s="66">
        <v>85</v>
      </c>
      <c r="E39" s="66">
        <v>60</v>
      </c>
      <c r="F39" s="67">
        <v>65</v>
      </c>
      <c r="G39" s="68">
        <f t="shared" si="1"/>
        <v>71.25</v>
      </c>
      <c r="H39" s="69">
        <v>185</v>
      </c>
      <c r="I39" s="69">
        <f t="shared" si="9"/>
        <v>5.828692307450476</v>
      </c>
      <c r="J39" s="69">
        <f t="shared" si="3"/>
        <v>6.563699999999999</v>
      </c>
      <c r="K39" s="69">
        <f t="shared" si="4"/>
        <v>9.0718105423987776</v>
      </c>
      <c r="L39" s="69">
        <f t="shared" si="5"/>
        <v>9.0718105423987776</v>
      </c>
      <c r="M39" s="69">
        <f t="shared" si="10"/>
        <v>335.65699006875479</v>
      </c>
      <c r="N39" s="69">
        <f t="shared" si="7"/>
        <v>119.99537469308716</v>
      </c>
      <c r="O39" s="70">
        <f t="shared" si="8"/>
        <v>10.752125999999999</v>
      </c>
      <c r="P39" s="38"/>
    </row>
    <row r="40" spans="1:16" x14ac:dyDescent="0.35">
      <c r="A40" s="13" t="s">
        <v>41</v>
      </c>
      <c r="B40" s="64">
        <v>38</v>
      </c>
      <c r="C40" s="65">
        <v>75</v>
      </c>
      <c r="D40" s="66">
        <v>70</v>
      </c>
      <c r="E40" s="66">
        <v>45</v>
      </c>
      <c r="F40" s="67">
        <v>45</v>
      </c>
      <c r="G40" s="68">
        <f t="shared" si="1"/>
        <v>58.75</v>
      </c>
      <c r="H40" s="69">
        <v>190</v>
      </c>
      <c r="I40" s="69">
        <f t="shared" si="9"/>
        <v>5.828692307450476</v>
      </c>
      <c r="J40" s="69">
        <f t="shared" si="3"/>
        <v>6.563699999999999</v>
      </c>
      <c r="K40" s="69">
        <f t="shared" si="4"/>
        <v>7.4802648332060091</v>
      </c>
      <c r="L40" s="69">
        <f t="shared" si="5"/>
        <v>7.4802648332060091</v>
      </c>
      <c r="M40" s="69">
        <f t="shared" si="10"/>
        <v>284.25006366182834</v>
      </c>
      <c r="N40" s="69">
        <f t="shared" si="7"/>
        <v>62.75975597871026</v>
      </c>
      <c r="O40" s="70">
        <f t="shared" si="8"/>
        <v>11.341175999999999</v>
      </c>
      <c r="P40" s="38"/>
    </row>
    <row r="41" spans="1:16" x14ac:dyDescent="0.35">
      <c r="A41" s="13" t="s">
        <v>41</v>
      </c>
      <c r="B41" s="64">
        <v>39</v>
      </c>
      <c r="C41" s="65">
        <v>35</v>
      </c>
      <c r="D41" s="66">
        <v>35</v>
      </c>
      <c r="E41" s="66">
        <v>25</v>
      </c>
      <c r="F41" s="67">
        <v>25</v>
      </c>
      <c r="G41" s="68">
        <f t="shared" si="1"/>
        <v>30</v>
      </c>
      <c r="H41" s="69">
        <v>195</v>
      </c>
      <c r="I41" s="69">
        <f t="shared" si="9"/>
        <v>5.828692307450476</v>
      </c>
      <c r="J41" s="69">
        <f t="shared" si="3"/>
        <v>6.563699999999999</v>
      </c>
      <c r="K41" s="69">
        <f t="shared" si="4"/>
        <v>3.8197097020626432</v>
      </c>
      <c r="L41" s="69">
        <f t="shared" si="5"/>
        <v>3.8197097020626432</v>
      </c>
      <c r="M41" s="69">
        <f t="shared" si="10"/>
        <v>148.96867838044309</v>
      </c>
      <c r="N41" s="69">
        <f t="shared" si="7"/>
        <v>78.350321610125476</v>
      </c>
      <c r="O41" s="70">
        <f t="shared" si="8"/>
        <v>11.945933999999999</v>
      </c>
      <c r="P41" s="38"/>
    </row>
    <row r="42" spans="1:16" x14ac:dyDescent="0.35">
      <c r="A42" s="13" t="s">
        <v>41</v>
      </c>
      <c r="B42" s="64">
        <v>40</v>
      </c>
      <c r="C42" s="65">
        <v>50</v>
      </c>
      <c r="D42" s="66">
        <v>50</v>
      </c>
      <c r="E42" s="66">
        <v>50</v>
      </c>
      <c r="F42" s="67">
        <v>50</v>
      </c>
      <c r="G42" s="68">
        <f t="shared" si="1"/>
        <v>50</v>
      </c>
      <c r="H42" s="69">
        <v>200</v>
      </c>
      <c r="I42" s="69">
        <f t="shared" si="9"/>
        <v>5.828692307450476</v>
      </c>
      <c r="J42" s="69">
        <f t="shared" si="3"/>
        <v>6.563699999999999</v>
      </c>
      <c r="K42" s="69">
        <f t="shared" si="4"/>
        <v>6.3661828367710713</v>
      </c>
      <c r="L42" s="69">
        <f t="shared" si="5"/>
        <v>6.3661828367710713</v>
      </c>
      <c r="M42" s="69">
        <f t="shared" si="10"/>
        <v>254.64731347084285</v>
      </c>
      <c r="N42" s="69">
        <f t="shared" si="7"/>
        <v>21.499621172823815</v>
      </c>
      <c r="O42" s="70">
        <f t="shared" si="8"/>
        <v>12.5664</v>
      </c>
      <c r="P42" s="38"/>
    </row>
    <row r="43" spans="1:16" x14ac:dyDescent="0.35">
      <c r="A43" s="13" t="s">
        <v>41</v>
      </c>
      <c r="B43" s="64">
        <v>41</v>
      </c>
      <c r="C43" s="65">
        <v>40</v>
      </c>
      <c r="D43" s="66">
        <v>45</v>
      </c>
      <c r="E43" s="66">
        <v>35</v>
      </c>
      <c r="F43" s="67">
        <v>35</v>
      </c>
      <c r="G43" s="68">
        <f t="shared" si="1"/>
        <v>38.75</v>
      </c>
      <c r="H43" s="69">
        <v>205</v>
      </c>
      <c r="I43" s="69">
        <f t="shared" si="9"/>
        <v>5.828692307450476</v>
      </c>
      <c r="J43" s="69">
        <f t="shared" si="3"/>
        <v>6.563699999999999</v>
      </c>
      <c r="K43" s="69">
        <f t="shared" si="4"/>
        <v>4.9337916984975809</v>
      </c>
      <c r="L43" s="69">
        <f t="shared" si="5"/>
        <v>4.9337916984975809</v>
      </c>
      <c r="M43" s="69">
        <f t="shared" si="10"/>
        <v>202.28545963840082</v>
      </c>
      <c r="N43" s="69">
        <f t="shared" si="7"/>
        <v>36.690924967068696</v>
      </c>
      <c r="O43" s="70">
        <f t="shared" si="8"/>
        <v>13.202573999999998</v>
      </c>
      <c r="P43" s="38"/>
    </row>
    <row r="44" spans="1:16" x14ac:dyDescent="0.35">
      <c r="A44" s="13" t="s">
        <v>41</v>
      </c>
      <c r="B44" s="64">
        <v>42</v>
      </c>
      <c r="C44" s="65">
        <v>55</v>
      </c>
      <c r="D44" s="66">
        <v>55</v>
      </c>
      <c r="E44" s="66">
        <v>35</v>
      </c>
      <c r="F44" s="67">
        <v>35</v>
      </c>
      <c r="G44" s="68">
        <f t="shared" si="1"/>
        <v>45</v>
      </c>
      <c r="H44" s="69">
        <v>210</v>
      </c>
      <c r="I44" s="69">
        <f t="shared" si="9"/>
        <v>5.828692307450476</v>
      </c>
      <c r="J44" s="69">
        <f t="shared" si="3"/>
        <v>6.563699999999999</v>
      </c>
      <c r="K44" s="69">
        <f t="shared" si="4"/>
        <v>5.7295645530939643</v>
      </c>
      <c r="L44" s="69">
        <f t="shared" si="5"/>
        <v>5.7295645530939643</v>
      </c>
      <c r="M44" s="69">
        <f t="shared" si="10"/>
        <v>240.64171122994651</v>
      </c>
      <c r="N44" s="69">
        <f t="shared" si="7"/>
        <v>4.16336568297349</v>
      </c>
      <c r="O44" s="70">
        <f t="shared" si="8"/>
        <v>13.854455999999999</v>
      </c>
      <c r="P44" s="38"/>
    </row>
    <row r="45" spans="1:16" x14ac:dyDescent="0.35">
      <c r="A45" s="13" t="s">
        <v>42</v>
      </c>
      <c r="B45" s="64">
        <v>43</v>
      </c>
      <c r="C45" s="65">
        <v>55</v>
      </c>
      <c r="D45" s="66">
        <v>55</v>
      </c>
      <c r="E45" s="66">
        <v>85</v>
      </c>
      <c r="F45" s="67">
        <v>75</v>
      </c>
      <c r="G45" s="68">
        <f t="shared" si="1"/>
        <v>67.5</v>
      </c>
      <c r="H45" s="69">
        <v>215</v>
      </c>
      <c r="I45" s="69">
        <f t="shared" si="9"/>
        <v>5.828692307450476</v>
      </c>
      <c r="J45" s="69">
        <f t="shared" si="3"/>
        <v>6.563699999999999</v>
      </c>
      <c r="K45" s="69">
        <f t="shared" si="4"/>
        <v>8.594346829640946</v>
      </c>
      <c r="L45" s="69">
        <f t="shared" si="5"/>
        <v>8.594346829640946</v>
      </c>
      <c r="M45" s="69">
        <f t="shared" si="10"/>
        <v>369.55691367456069</v>
      </c>
      <c r="N45" s="69">
        <f t="shared" si="7"/>
        <v>118.92314445419021</v>
      </c>
      <c r="O45" s="70">
        <f t="shared" si="8"/>
        <v>14.522046</v>
      </c>
      <c r="P45" s="38"/>
    </row>
    <row r="46" spans="1:16" x14ac:dyDescent="0.35">
      <c r="A46" s="13" t="s">
        <v>42</v>
      </c>
      <c r="B46" s="64">
        <v>44</v>
      </c>
      <c r="C46" s="65">
        <v>45</v>
      </c>
      <c r="D46" s="66">
        <v>45</v>
      </c>
      <c r="E46" s="66">
        <v>25</v>
      </c>
      <c r="F46" s="67">
        <v>25</v>
      </c>
      <c r="G46" s="68">
        <f t="shared" si="1"/>
        <v>35</v>
      </c>
      <c r="H46" s="69">
        <v>220</v>
      </c>
      <c r="I46" s="69">
        <f t="shared" si="9"/>
        <v>5.828692307450476</v>
      </c>
      <c r="J46" s="69">
        <f t="shared" si="3"/>
        <v>6.563699999999999</v>
      </c>
      <c r="K46" s="69">
        <f t="shared" si="4"/>
        <v>4.4563279857397502</v>
      </c>
      <c r="L46" s="69">
        <f t="shared" si="5"/>
        <v>4.4563279857397502</v>
      </c>
      <c r="M46" s="69">
        <f t="shared" si="10"/>
        <v>196.07843137254901</v>
      </c>
      <c r="N46" s="69">
        <f t="shared" si="7"/>
        <v>60.38403015527193</v>
      </c>
      <c r="O46" s="70">
        <f t="shared" si="8"/>
        <v>15.205344</v>
      </c>
      <c r="P46" s="38"/>
    </row>
    <row r="47" spans="1:16" x14ac:dyDescent="0.35">
      <c r="A47" s="13" t="s">
        <v>42</v>
      </c>
      <c r="B47" s="64">
        <v>45</v>
      </c>
      <c r="C47" s="65">
        <v>50</v>
      </c>
      <c r="D47" s="66">
        <v>45</v>
      </c>
      <c r="E47" s="66">
        <v>40</v>
      </c>
      <c r="F47" s="67">
        <v>40</v>
      </c>
      <c r="G47" s="68">
        <f t="shared" si="1"/>
        <v>43.75</v>
      </c>
      <c r="H47" s="69">
        <v>225</v>
      </c>
      <c r="I47" s="69">
        <f t="shared" si="9"/>
        <v>5.828692307450476</v>
      </c>
      <c r="J47" s="69">
        <f t="shared" si="3"/>
        <v>6.563699999999999</v>
      </c>
      <c r="K47" s="69">
        <f t="shared" si="4"/>
        <v>5.570409982174688</v>
      </c>
      <c r="L47" s="69">
        <f t="shared" si="5"/>
        <v>5.570409982174688</v>
      </c>
      <c r="M47" s="69">
        <f t="shared" si="10"/>
        <v>250.66844919786095</v>
      </c>
      <c r="N47" s="69">
        <f t="shared" si="7"/>
        <v>11.622704637410459</v>
      </c>
      <c r="O47" s="70">
        <f t="shared" si="8"/>
        <v>15.904350000000001</v>
      </c>
      <c r="P47" s="38"/>
    </row>
    <row r="48" spans="1:16" x14ac:dyDescent="0.35">
      <c r="A48" s="13" t="s">
        <v>42</v>
      </c>
      <c r="B48" s="64">
        <v>46</v>
      </c>
      <c r="C48" s="65">
        <v>75</v>
      </c>
      <c r="D48" s="66">
        <v>75</v>
      </c>
      <c r="E48" s="66">
        <v>45</v>
      </c>
      <c r="F48" s="67">
        <v>45</v>
      </c>
      <c r="G48" s="68">
        <f t="shared" si="1"/>
        <v>60</v>
      </c>
      <c r="H48" s="69">
        <v>230</v>
      </c>
      <c r="I48" s="69">
        <f t="shared" si="9"/>
        <v>5.828692307450476</v>
      </c>
      <c r="J48" s="69">
        <f t="shared" si="3"/>
        <v>6.563699999999999</v>
      </c>
      <c r="K48" s="69">
        <f t="shared" si="4"/>
        <v>7.6394194041252863</v>
      </c>
      <c r="L48" s="69">
        <f t="shared" si="5"/>
        <v>7.6394194041252863</v>
      </c>
      <c r="M48" s="69">
        <f t="shared" si="10"/>
        <v>351.41329258976316</v>
      </c>
      <c r="N48" s="69">
        <f t="shared" si="7"/>
        <v>83.293446447041276</v>
      </c>
      <c r="O48" s="70">
        <f t="shared" si="8"/>
        <v>16.619063999999998</v>
      </c>
      <c r="P48" s="38"/>
    </row>
    <row r="49" spans="1:16" x14ac:dyDescent="0.35">
      <c r="A49" s="13" t="s">
        <v>42</v>
      </c>
      <c r="B49" s="64">
        <v>47</v>
      </c>
      <c r="C49" s="65">
        <v>35</v>
      </c>
      <c r="D49" s="66">
        <v>35</v>
      </c>
      <c r="E49" s="66">
        <v>40</v>
      </c>
      <c r="F49" s="67">
        <v>40</v>
      </c>
      <c r="G49" s="68">
        <f t="shared" si="1"/>
        <v>37.5</v>
      </c>
      <c r="H49" s="69">
        <v>235</v>
      </c>
      <c r="I49" s="69">
        <f t="shared" si="9"/>
        <v>5.828692307450476</v>
      </c>
      <c r="J49" s="69">
        <f t="shared" si="3"/>
        <v>6.563699999999999</v>
      </c>
      <c r="K49" s="69">
        <f t="shared" si="4"/>
        <v>4.7746371275783037</v>
      </c>
      <c r="L49" s="69">
        <f t="shared" si="5"/>
        <v>4.7746371275783037</v>
      </c>
      <c r="M49" s="69">
        <f t="shared" si="10"/>
        <v>224.40794499618028</v>
      </c>
      <c r="N49" s="69">
        <f t="shared" si="7"/>
        <v>49.540593453992095</v>
      </c>
      <c r="O49" s="70">
        <f t="shared" si="8"/>
        <v>17.349485999999999</v>
      </c>
      <c r="P49" s="38"/>
    </row>
    <row r="50" spans="1:16" x14ac:dyDescent="0.35">
      <c r="A50" s="13" t="s">
        <v>42</v>
      </c>
      <c r="B50" s="64">
        <v>48</v>
      </c>
      <c r="C50" s="65">
        <v>50</v>
      </c>
      <c r="D50" s="66">
        <v>50</v>
      </c>
      <c r="E50" s="66">
        <v>30</v>
      </c>
      <c r="F50" s="67">
        <v>30</v>
      </c>
      <c r="G50" s="68">
        <f t="shared" si="1"/>
        <v>40</v>
      </c>
      <c r="H50" s="69">
        <v>240</v>
      </c>
      <c r="I50" s="69">
        <f t="shared" si="9"/>
        <v>5.828692307450476</v>
      </c>
      <c r="J50" s="69">
        <f t="shared" si="3"/>
        <v>6.563699999999999</v>
      </c>
      <c r="K50" s="69">
        <f t="shared" si="4"/>
        <v>5.0929462694168572</v>
      </c>
      <c r="L50" s="69">
        <f t="shared" si="5"/>
        <v>5.0929462694168572</v>
      </c>
      <c r="M50" s="69">
        <f t="shared" si="10"/>
        <v>244.46142093200916</v>
      </c>
      <c r="N50" s="69">
        <f t="shared" si="7"/>
        <v>35.315809825613698</v>
      </c>
      <c r="O50" s="70">
        <f t="shared" si="8"/>
        <v>18.095616</v>
      </c>
      <c r="P50" s="38"/>
    </row>
    <row r="51" spans="1:16" x14ac:dyDescent="0.35">
      <c r="A51" s="13" t="s">
        <v>42</v>
      </c>
      <c r="B51" s="64">
        <v>49</v>
      </c>
      <c r="C51" s="65">
        <v>100</v>
      </c>
      <c r="D51" s="66">
        <v>120</v>
      </c>
      <c r="E51" s="66">
        <v>110</v>
      </c>
      <c r="F51" s="67">
        <v>85</v>
      </c>
      <c r="G51" s="68">
        <f t="shared" si="1"/>
        <v>103.75</v>
      </c>
      <c r="H51" s="69">
        <v>245</v>
      </c>
      <c r="I51" s="69">
        <f t="shared" si="9"/>
        <v>5.828692307450476</v>
      </c>
      <c r="J51" s="69">
        <f t="shared" si="3"/>
        <v>6.563699999999999</v>
      </c>
      <c r="K51" s="69">
        <f t="shared" si="4"/>
        <v>13.209829386299974</v>
      </c>
      <c r="L51" s="69">
        <f t="shared" si="5"/>
        <v>13.209829386299974</v>
      </c>
      <c r="M51" s="69">
        <f t="shared" si="10"/>
        <v>647.28163992869872</v>
      </c>
      <c r="N51" s="69">
        <f t="shared" si="7"/>
        <v>361.67571686362544</v>
      </c>
      <c r="O51" s="70">
        <f t="shared" si="8"/>
        <v>18.857454000000001</v>
      </c>
      <c r="P51" s="38"/>
    </row>
    <row r="52" spans="1:16" x14ac:dyDescent="0.35">
      <c r="A52" s="13" t="s">
        <v>42</v>
      </c>
      <c r="B52" s="64">
        <v>50</v>
      </c>
      <c r="C52" s="65">
        <v>55</v>
      </c>
      <c r="D52" s="66">
        <v>55</v>
      </c>
      <c r="E52" s="66">
        <v>45</v>
      </c>
      <c r="F52" s="67">
        <v>45</v>
      </c>
      <c r="G52" s="68">
        <f t="shared" si="1"/>
        <v>50</v>
      </c>
      <c r="H52" s="69">
        <v>250</v>
      </c>
      <c r="I52" s="69">
        <f t="shared" si="9"/>
        <v>5.828692307450476</v>
      </c>
      <c r="J52" s="69">
        <f t="shared" si="3"/>
        <v>6.563699999999999</v>
      </c>
      <c r="K52" s="69">
        <f t="shared" si="4"/>
        <v>6.3661828367710713</v>
      </c>
      <c r="L52" s="69">
        <f t="shared" si="5"/>
        <v>6.3661828367710713</v>
      </c>
      <c r="M52" s="69">
        <f t="shared" si="10"/>
        <v>318.30914183855356</v>
      </c>
      <c r="N52" s="69">
        <f t="shared" si="7"/>
        <v>26.874526466029771</v>
      </c>
      <c r="O52" s="70">
        <f t="shared" si="8"/>
        <v>19.635000000000002</v>
      </c>
      <c r="P52" s="38"/>
    </row>
    <row r="53" spans="1:16" x14ac:dyDescent="0.35">
      <c r="A53" s="13" t="s">
        <v>42</v>
      </c>
      <c r="B53" s="64">
        <v>51</v>
      </c>
      <c r="C53" s="65">
        <v>50</v>
      </c>
      <c r="D53" s="66">
        <v>50</v>
      </c>
      <c r="E53" s="66">
        <v>35</v>
      </c>
      <c r="F53" s="67">
        <v>40</v>
      </c>
      <c r="G53" s="68">
        <f t="shared" si="1"/>
        <v>43.75</v>
      </c>
      <c r="H53" s="69">
        <v>255</v>
      </c>
      <c r="I53" s="69">
        <f t="shared" si="9"/>
        <v>5.828692307450476</v>
      </c>
      <c r="J53" s="69">
        <f t="shared" si="3"/>
        <v>6.563699999999999</v>
      </c>
      <c r="K53" s="69">
        <f t="shared" si="4"/>
        <v>5.570409982174688</v>
      </c>
      <c r="L53" s="69">
        <f t="shared" si="5"/>
        <v>5.570409982174688</v>
      </c>
      <c r="M53" s="69">
        <f t="shared" si="10"/>
        <v>284.09090909090907</v>
      </c>
      <c r="N53" s="69">
        <f t="shared" si="7"/>
        <v>13.172398589065187</v>
      </c>
      <c r="O53" s="70">
        <f t="shared" si="8"/>
        <v>20.428254000000003</v>
      </c>
      <c r="P53" s="38"/>
    </row>
    <row r="54" spans="1:16" x14ac:dyDescent="0.35">
      <c r="A54" s="13" t="s">
        <v>42</v>
      </c>
      <c r="B54" s="64">
        <v>52</v>
      </c>
      <c r="C54" s="65">
        <v>45</v>
      </c>
      <c r="D54" s="66">
        <v>50</v>
      </c>
      <c r="E54" s="66">
        <v>30</v>
      </c>
      <c r="F54" s="67">
        <v>30</v>
      </c>
      <c r="G54" s="68">
        <f t="shared" si="1"/>
        <v>38.75</v>
      </c>
      <c r="H54" s="69">
        <v>260</v>
      </c>
      <c r="I54" s="69">
        <f t="shared" si="9"/>
        <v>5.828692307450476</v>
      </c>
      <c r="J54" s="69">
        <f t="shared" si="3"/>
        <v>6.563699999999999</v>
      </c>
      <c r="K54" s="69">
        <f t="shared" si="4"/>
        <v>4.9337916984975809</v>
      </c>
      <c r="L54" s="69">
        <f t="shared" si="5"/>
        <v>4.9337916984975809</v>
      </c>
      <c r="M54" s="69">
        <f t="shared" si="10"/>
        <v>256.5571683218742</v>
      </c>
      <c r="N54" s="69">
        <f t="shared" si="7"/>
        <v>46.534831665550541</v>
      </c>
      <c r="O54" s="70">
        <f t="shared" si="8"/>
        <v>21.237216</v>
      </c>
      <c r="P54" s="38"/>
    </row>
    <row r="55" spans="1:16" x14ac:dyDescent="0.35">
      <c r="A55" s="13" t="s">
        <v>43</v>
      </c>
      <c r="B55" s="64">
        <v>53</v>
      </c>
      <c r="C55" s="65">
        <v>55</v>
      </c>
      <c r="D55" s="66">
        <v>55</v>
      </c>
      <c r="E55" s="66">
        <v>45</v>
      </c>
      <c r="F55" s="67">
        <v>45</v>
      </c>
      <c r="G55" s="68">
        <f t="shared" si="1"/>
        <v>50</v>
      </c>
      <c r="H55" s="69">
        <v>265</v>
      </c>
      <c r="I55" s="69">
        <f t="shared" si="9"/>
        <v>5.828692307450476</v>
      </c>
      <c r="J55" s="69">
        <f t="shared" si="3"/>
        <v>6.563699999999999</v>
      </c>
      <c r="K55" s="69">
        <f t="shared" si="4"/>
        <v>6.3661828367710713</v>
      </c>
      <c r="L55" s="69">
        <f t="shared" si="5"/>
        <v>6.3661828367710713</v>
      </c>
      <c r="M55" s="69">
        <f t="shared" si="10"/>
        <v>337.40769034886677</v>
      </c>
      <c r="N55" s="69">
        <f t="shared" si="7"/>
        <v>28.486998053991556</v>
      </c>
      <c r="O55" s="70">
        <f t="shared" si="8"/>
        <v>22.061885999999998</v>
      </c>
      <c r="P55" s="38"/>
    </row>
    <row r="56" spans="1:16" x14ac:dyDescent="0.35">
      <c r="A56" s="13" t="s">
        <v>43</v>
      </c>
      <c r="B56" s="64">
        <v>54</v>
      </c>
      <c r="C56" s="65">
        <v>55</v>
      </c>
      <c r="D56" s="66">
        <v>55</v>
      </c>
      <c r="E56" s="66">
        <v>50</v>
      </c>
      <c r="F56" s="67">
        <v>45</v>
      </c>
      <c r="G56" s="68">
        <f t="shared" si="1"/>
        <v>51.25</v>
      </c>
      <c r="H56" s="69">
        <v>270</v>
      </c>
      <c r="I56" s="69">
        <f t="shared" si="9"/>
        <v>5.828692307450476</v>
      </c>
      <c r="J56" s="69">
        <f t="shared" si="3"/>
        <v>6.563699999999999</v>
      </c>
      <c r="K56" s="69">
        <f t="shared" si="4"/>
        <v>6.5253374076903476</v>
      </c>
      <c r="L56" s="69">
        <f t="shared" si="5"/>
        <v>6.5253374076903476</v>
      </c>
      <c r="M56" s="69">
        <f t="shared" si="10"/>
        <v>352.36822001527878</v>
      </c>
      <c r="N56" s="69">
        <f t="shared" si="7"/>
        <v>37.618835412953075</v>
      </c>
      <c r="O56" s="70">
        <f t="shared" si="8"/>
        <v>22.902263999999999</v>
      </c>
      <c r="P56" s="38"/>
    </row>
    <row r="57" spans="1:16" x14ac:dyDescent="0.35">
      <c r="A57" s="13" t="s">
        <v>43</v>
      </c>
      <c r="B57" s="64">
        <v>55</v>
      </c>
      <c r="C57" s="65">
        <v>60</v>
      </c>
      <c r="D57" s="66">
        <v>60</v>
      </c>
      <c r="E57" s="66">
        <v>50</v>
      </c>
      <c r="F57" s="67">
        <v>45</v>
      </c>
      <c r="G57" s="68">
        <f t="shared" si="1"/>
        <v>53.75</v>
      </c>
      <c r="H57" s="69">
        <v>275</v>
      </c>
      <c r="I57" s="69">
        <f t="shared" si="9"/>
        <v>5.828692307450476</v>
      </c>
      <c r="J57" s="69">
        <f t="shared" si="3"/>
        <v>6.563699999999999</v>
      </c>
      <c r="K57" s="69">
        <f t="shared" si="4"/>
        <v>6.8436465495289021</v>
      </c>
      <c r="L57" s="69">
        <f t="shared" si="5"/>
        <v>6.8436465495289021</v>
      </c>
      <c r="M57" s="69">
        <f t="shared" si="10"/>
        <v>376.40056022408959</v>
      </c>
      <c r="N57" s="69">
        <f t="shared" si="7"/>
        <v>55.822483314313438</v>
      </c>
      <c r="O57" s="70">
        <f t="shared" si="8"/>
        <v>23.75835</v>
      </c>
      <c r="P57" s="38"/>
    </row>
    <row r="58" spans="1:16" x14ac:dyDescent="0.35">
      <c r="A58" s="13" t="s">
        <v>43</v>
      </c>
      <c r="B58" s="64">
        <v>56</v>
      </c>
      <c r="C58" s="65">
        <v>60</v>
      </c>
      <c r="D58" s="66">
        <v>60</v>
      </c>
      <c r="E58" s="66">
        <v>45</v>
      </c>
      <c r="F58" s="67">
        <v>45</v>
      </c>
      <c r="G58" s="68">
        <f t="shared" si="1"/>
        <v>52.5</v>
      </c>
      <c r="H58" s="69">
        <v>280</v>
      </c>
      <c r="I58" s="69">
        <f t="shared" si="9"/>
        <v>5.828692307450476</v>
      </c>
      <c r="J58" s="69">
        <f t="shared" si="3"/>
        <v>6.563699999999999</v>
      </c>
      <c r="K58" s="69">
        <f t="shared" si="4"/>
        <v>6.6844919786096249</v>
      </c>
      <c r="L58" s="69">
        <f t="shared" si="5"/>
        <v>6.6844919786096249</v>
      </c>
      <c r="M58" s="69">
        <f t="shared" si="10"/>
        <v>374.33155080213896</v>
      </c>
      <c r="N58" s="69">
        <f t="shared" si="7"/>
        <v>47.924781584912338</v>
      </c>
      <c r="O58" s="70">
        <f t="shared" si="8"/>
        <v>24.630144000000001</v>
      </c>
      <c r="P58" s="38"/>
    </row>
    <row r="59" spans="1:16" x14ac:dyDescent="0.35">
      <c r="A59" s="13" t="s">
        <v>43</v>
      </c>
      <c r="B59" s="64">
        <v>57</v>
      </c>
      <c r="C59" s="65">
        <v>60</v>
      </c>
      <c r="D59" s="66">
        <v>100</v>
      </c>
      <c r="E59" s="66">
        <v>75</v>
      </c>
      <c r="F59" s="67">
        <v>80</v>
      </c>
      <c r="G59" s="68">
        <f t="shared" si="1"/>
        <v>78.75</v>
      </c>
      <c r="H59" s="69">
        <v>285</v>
      </c>
      <c r="I59" s="69">
        <f t="shared" si="9"/>
        <v>5.828692307450476</v>
      </c>
      <c r="J59" s="69">
        <f t="shared" si="3"/>
        <v>6.563699999999999</v>
      </c>
      <c r="K59" s="69">
        <f t="shared" si="4"/>
        <v>10.026737967914439</v>
      </c>
      <c r="L59" s="69">
        <f t="shared" si="5"/>
        <v>10.026737967914439</v>
      </c>
      <c r="M59" s="69">
        <f t="shared" si="10"/>
        <v>571.52406417112297</v>
      </c>
      <c r="N59" s="69">
        <f t="shared" si="7"/>
        <v>239.2886026464459</v>
      </c>
      <c r="O59" s="70">
        <f t="shared" si="8"/>
        <v>25.517645999999999</v>
      </c>
      <c r="P59" s="38"/>
    </row>
    <row r="60" spans="1:16" x14ac:dyDescent="0.35">
      <c r="A60" s="13" t="s">
        <v>43</v>
      </c>
      <c r="B60" s="64">
        <v>58</v>
      </c>
      <c r="C60" s="65">
        <v>45</v>
      </c>
      <c r="D60" s="66">
        <v>45</v>
      </c>
      <c r="E60" s="66">
        <v>35</v>
      </c>
      <c r="F60" s="67">
        <v>35</v>
      </c>
      <c r="G60" s="68">
        <f t="shared" si="1"/>
        <v>40</v>
      </c>
      <c r="H60" s="69">
        <v>290</v>
      </c>
      <c r="I60" s="69">
        <f t="shared" si="9"/>
        <v>5.828692307450476</v>
      </c>
      <c r="J60" s="69">
        <f t="shared" si="3"/>
        <v>6.563699999999999</v>
      </c>
      <c r="K60" s="69">
        <f t="shared" si="4"/>
        <v>5.0929462694168572</v>
      </c>
      <c r="L60" s="69">
        <f t="shared" si="5"/>
        <v>5.0929462694168572</v>
      </c>
      <c r="M60" s="69">
        <f t="shared" si="10"/>
        <v>295.3908836261777</v>
      </c>
      <c r="N60" s="69">
        <f t="shared" si="7"/>
        <v>42.673270205949883</v>
      </c>
      <c r="O60" s="70">
        <f t="shared" si="8"/>
        <v>26.420856000000001</v>
      </c>
      <c r="P60" s="38"/>
    </row>
    <row r="61" spans="1:16" ht="21" thickBot="1" x14ac:dyDescent="0.4">
      <c r="A61" s="19" t="s">
        <v>43</v>
      </c>
      <c r="B61" s="64">
        <v>59</v>
      </c>
      <c r="C61" s="65">
        <v>35</v>
      </c>
      <c r="D61" s="66">
        <v>35</v>
      </c>
      <c r="E61" s="66">
        <v>25</v>
      </c>
      <c r="F61" s="67">
        <v>25</v>
      </c>
      <c r="G61" s="68">
        <f t="shared" si="1"/>
        <v>30</v>
      </c>
      <c r="H61" s="69">
        <v>295</v>
      </c>
      <c r="I61" s="69">
        <f t="shared" si="9"/>
        <v>5.828692307450476</v>
      </c>
      <c r="J61" s="69">
        <f t="shared" si="3"/>
        <v>6.563699999999999</v>
      </c>
      <c r="K61" s="69">
        <f t="shared" si="4"/>
        <v>3.8197097020626432</v>
      </c>
      <c r="L61" s="69">
        <f t="shared" si="5"/>
        <v>3.8197097020626432</v>
      </c>
      <c r="M61" s="69">
        <f t="shared" si="10"/>
        <v>225.36287242169595</v>
      </c>
      <c r="N61" s="69">
        <f t="shared" si="7"/>
        <v>118.52997371788213</v>
      </c>
      <c r="O61" s="70">
        <f t="shared" si="8"/>
        <v>27.339773999999998</v>
      </c>
      <c r="P61" s="38"/>
    </row>
    <row r="62" spans="1:16" ht="21" thickBot="1" x14ac:dyDescent="0.4">
      <c r="A62" s="19" t="s">
        <v>43</v>
      </c>
      <c r="B62" s="64">
        <v>60</v>
      </c>
      <c r="C62" s="65">
        <v>50</v>
      </c>
      <c r="D62" s="66">
        <v>50</v>
      </c>
      <c r="E62" s="66">
        <v>35</v>
      </c>
      <c r="F62" s="67">
        <v>35</v>
      </c>
      <c r="G62" s="68">
        <f t="shared" si="1"/>
        <v>42.5</v>
      </c>
      <c r="H62" s="69">
        <v>300</v>
      </c>
      <c r="I62" s="69">
        <f t="shared" si="9"/>
        <v>5.828692307450476</v>
      </c>
      <c r="J62" s="69">
        <f t="shared" si="3"/>
        <v>6.563699999999999</v>
      </c>
      <c r="K62" s="69">
        <f t="shared" si="4"/>
        <v>5.4112554112554108</v>
      </c>
      <c r="L62" s="69">
        <f t="shared" si="5"/>
        <v>5.4112554112554108</v>
      </c>
      <c r="M62" s="69">
        <f t="shared" si="10"/>
        <v>324.67532467532465</v>
      </c>
      <c r="N62" s="69">
        <f t="shared" si="7"/>
        <v>25.046213771703911</v>
      </c>
      <c r="O62" s="70">
        <f t="shared" si="8"/>
        <v>28.2744</v>
      </c>
      <c r="P62" s="38"/>
    </row>
    <row r="63" spans="1:16" ht="21" thickBot="1" x14ac:dyDescent="0.4">
      <c r="A63" s="19" t="s">
        <v>43</v>
      </c>
      <c r="B63" s="64">
        <v>61</v>
      </c>
      <c r="C63" s="65">
        <v>70</v>
      </c>
      <c r="D63" s="66">
        <v>75</v>
      </c>
      <c r="E63" s="66">
        <v>55</v>
      </c>
      <c r="F63" s="67">
        <v>50</v>
      </c>
      <c r="G63" s="68">
        <f t="shared" si="1"/>
        <v>62.5</v>
      </c>
      <c r="H63" s="69">
        <v>305</v>
      </c>
      <c r="I63" s="69">
        <f t="shared" si="9"/>
        <v>5.828692307450476</v>
      </c>
      <c r="J63" s="69">
        <f t="shared" si="3"/>
        <v>6.563699999999999</v>
      </c>
      <c r="K63" s="69">
        <f t="shared" si="4"/>
        <v>7.9577285459638389</v>
      </c>
      <c r="L63" s="69">
        <f t="shared" si="5"/>
        <v>7.9577285459638389</v>
      </c>
      <c r="M63" s="69">
        <f t="shared" si="10"/>
        <v>485.42144130379415</v>
      </c>
      <c r="N63" s="69">
        <f t="shared" si="7"/>
        <v>129.87121054931515</v>
      </c>
      <c r="O63" s="70">
        <f t="shared" si="8"/>
        <v>29.224733999999998</v>
      </c>
      <c r="P63" s="38"/>
    </row>
    <row r="64" spans="1:16" x14ac:dyDescent="0.35">
      <c r="A64" s="13" t="s">
        <v>43</v>
      </c>
      <c r="B64" s="64">
        <v>62</v>
      </c>
      <c r="C64" s="65">
        <v>55</v>
      </c>
      <c r="D64" s="66">
        <v>55</v>
      </c>
      <c r="E64" s="66">
        <v>35</v>
      </c>
      <c r="F64" s="67">
        <v>30</v>
      </c>
      <c r="G64" s="68">
        <f t="shared" si="1"/>
        <v>43.75</v>
      </c>
      <c r="H64" s="69">
        <v>310</v>
      </c>
      <c r="I64" s="69">
        <f t="shared" si="9"/>
        <v>5.828692307450476</v>
      </c>
      <c r="J64" s="69">
        <f t="shared" si="3"/>
        <v>6.563699999999999</v>
      </c>
      <c r="K64" s="69">
        <f t="shared" si="4"/>
        <v>5.570409982174688</v>
      </c>
      <c r="L64" s="69">
        <f t="shared" si="5"/>
        <v>5.570409982174688</v>
      </c>
      <c r="M64" s="69">
        <f t="shared" si="10"/>
        <v>345.36541889483067</v>
      </c>
      <c r="N64" s="69">
        <f t="shared" si="7"/>
        <v>16.013504167098855</v>
      </c>
      <c r="O64" s="70">
        <f t="shared" si="8"/>
        <v>30.190776</v>
      </c>
      <c r="P64" s="38"/>
    </row>
    <row r="65" spans="1:16" x14ac:dyDescent="0.35">
      <c r="A65" s="13" t="s">
        <v>43</v>
      </c>
      <c r="B65" s="64">
        <v>63</v>
      </c>
      <c r="C65" s="65">
        <v>40</v>
      </c>
      <c r="D65" s="66">
        <v>35</v>
      </c>
      <c r="E65" s="66">
        <v>75</v>
      </c>
      <c r="F65" s="67">
        <v>75</v>
      </c>
      <c r="G65" s="68">
        <f t="shared" si="1"/>
        <v>56.25</v>
      </c>
      <c r="H65" s="69">
        <v>315</v>
      </c>
      <c r="I65" s="69">
        <f t="shared" si="9"/>
        <v>5.828692307450476</v>
      </c>
      <c r="J65" s="69">
        <f t="shared" si="3"/>
        <v>6.563699999999999</v>
      </c>
      <c r="K65" s="69">
        <f t="shared" si="4"/>
        <v>7.1619556913674556</v>
      </c>
      <c r="L65" s="69">
        <f t="shared" si="5"/>
        <v>7.1619556913674556</v>
      </c>
      <c r="M65" s="69">
        <f t="shared" si="10"/>
        <v>451.20320855614972</v>
      </c>
      <c r="N65" s="69">
        <f t="shared" si="7"/>
        <v>83.99559318676971</v>
      </c>
      <c r="O65" s="70">
        <f t="shared" si="8"/>
        <v>31.172526000000001</v>
      </c>
      <c r="P65" s="38"/>
    </row>
    <row r="66" spans="1:16" x14ac:dyDescent="0.35">
      <c r="A66" s="13" t="s">
        <v>44</v>
      </c>
      <c r="B66" s="64">
        <v>64</v>
      </c>
      <c r="C66" s="65">
        <v>50</v>
      </c>
      <c r="D66" s="66">
        <v>50</v>
      </c>
      <c r="E66" s="66">
        <v>45</v>
      </c>
      <c r="F66" s="67">
        <v>45</v>
      </c>
      <c r="G66" s="68">
        <f t="shared" si="1"/>
        <v>47.5</v>
      </c>
      <c r="H66" s="69">
        <v>320</v>
      </c>
      <c r="I66" s="69">
        <f t="shared" si="9"/>
        <v>5.828692307450476</v>
      </c>
      <c r="J66" s="69">
        <f t="shared" si="3"/>
        <v>6.563699999999999</v>
      </c>
      <c r="K66" s="69">
        <f t="shared" si="4"/>
        <v>6.0478736949325187</v>
      </c>
      <c r="L66" s="69">
        <f t="shared" si="5"/>
        <v>6.0478736949325187</v>
      </c>
      <c r="M66" s="69">
        <f t="shared" si="10"/>
        <v>387.0639164756812</v>
      </c>
      <c r="N66" s="69">
        <f t="shared" si="7"/>
        <v>14.027608798850736</v>
      </c>
      <c r="O66" s="70">
        <f t="shared" si="8"/>
        <v>32.169983999999999</v>
      </c>
      <c r="P66" s="38"/>
    </row>
    <row r="67" spans="1:16" x14ac:dyDescent="0.35">
      <c r="A67" s="13" t="s">
        <v>44</v>
      </c>
      <c r="B67" s="64">
        <v>65</v>
      </c>
      <c r="C67" s="65">
        <v>50</v>
      </c>
      <c r="D67" s="66">
        <v>50</v>
      </c>
      <c r="E67" s="66">
        <v>45</v>
      </c>
      <c r="F67" s="67">
        <v>45</v>
      </c>
      <c r="G67" s="68">
        <f t="shared" si="1"/>
        <v>47.5</v>
      </c>
      <c r="H67" s="69">
        <v>325</v>
      </c>
      <c r="I67" s="69">
        <f t="shared" si="9"/>
        <v>5.828692307450476</v>
      </c>
      <c r="J67" s="69">
        <f t="shared" si="3"/>
        <v>6.563699999999999</v>
      </c>
      <c r="K67" s="69">
        <f t="shared" si="4"/>
        <v>6.0478736949325187</v>
      </c>
      <c r="L67" s="69">
        <f t="shared" si="5"/>
        <v>6.0478736949325187</v>
      </c>
      <c r="M67" s="69">
        <f t="shared" si="10"/>
        <v>393.11179017061369</v>
      </c>
      <c r="N67" s="69">
        <f t="shared" si="7"/>
        <v>14.246790186332777</v>
      </c>
      <c r="O67" s="70">
        <f t="shared" si="8"/>
        <v>33.183149999999998</v>
      </c>
      <c r="P67" s="38"/>
    </row>
    <row r="68" spans="1:16" x14ac:dyDescent="0.35">
      <c r="A68" s="13" t="s">
        <v>44</v>
      </c>
      <c r="B68" s="64">
        <v>66</v>
      </c>
      <c r="C68" s="65">
        <v>55</v>
      </c>
      <c r="D68" s="66">
        <v>55</v>
      </c>
      <c r="E68" s="66">
        <v>40</v>
      </c>
      <c r="F68" s="67">
        <v>40</v>
      </c>
      <c r="G68" s="68">
        <f t="shared" si="1"/>
        <v>47.5</v>
      </c>
      <c r="H68" s="69">
        <v>330</v>
      </c>
      <c r="I68" s="69">
        <f t="shared" si="9"/>
        <v>5.828692307450476</v>
      </c>
      <c r="J68" s="69">
        <f t="shared" si="3"/>
        <v>6.563699999999999</v>
      </c>
      <c r="K68" s="69">
        <f t="shared" si="4"/>
        <v>6.0478736949325187</v>
      </c>
      <c r="L68" s="69">
        <f t="shared" si="5"/>
        <v>6.0478736949325187</v>
      </c>
      <c r="M68" s="69">
        <f t="shared" si="10"/>
        <v>399.15966386554624</v>
      </c>
      <c r="N68" s="69">
        <f t="shared" si="7"/>
        <v>14.465971573814821</v>
      </c>
      <c r="O68" s="70">
        <f t="shared" si="8"/>
        <v>34.212024</v>
      </c>
      <c r="P68" s="38"/>
    </row>
    <row r="69" spans="1:16" x14ac:dyDescent="0.35">
      <c r="A69" s="13" t="s">
        <v>44</v>
      </c>
      <c r="B69" s="64">
        <v>67</v>
      </c>
      <c r="C69" s="65">
        <v>50</v>
      </c>
      <c r="D69" s="66">
        <v>55</v>
      </c>
      <c r="E69" s="66">
        <v>45</v>
      </c>
      <c r="F69" s="67">
        <v>45</v>
      </c>
      <c r="G69" s="68">
        <f t="shared" si="1"/>
        <v>48.75</v>
      </c>
      <c r="H69" s="69">
        <v>335</v>
      </c>
      <c r="I69" s="69">
        <f t="shared" si="9"/>
        <v>5.828692307450476</v>
      </c>
      <c r="J69" s="69">
        <f t="shared" ref="J69:J82" si="11">$P$21</f>
        <v>6.563699999999999</v>
      </c>
      <c r="K69" s="69">
        <f t="shared" si="4"/>
        <v>6.207028265851795</v>
      </c>
      <c r="L69" s="69">
        <f t="shared" si="5"/>
        <v>6.207028265851795</v>
      </c>
      <c r="M69" s="69">
        <f t="shared" si="10"/>
        <v>415.87089381207028</v>
      </c>
      <c r="N69" s="69">
        <f t="shared" si="7"/>
        <v>25.348509212888377</v>
      </c>
      <c r="O69" s="70">
        <f t="shared" si="8"/>
        <v>35.256605999999998</v>
      </c>
      <c r="P69" s="38"/>
    </row>
    <row r="70" spans="1:16" x14ac:dyDescent="0.35">
      <c r="A70" s="13" t="s">
        <v>44</v>
      </c>
      <c r="B70" s="64">
        <v>68</v>
      </c>
      <c r="C70" s="65">
        <v>45</v>
      </c>
      <c r="D70" s="66">
        <v>45</v>
      </c>
      <c r="E70" s="66">
        <v>40</v>
      </c>
      <c r="F70" s="67">
        <v>35</v>
      </c>
      <c r="G70" s="68">
        <f t="shared" si="1"/>
        <v>41.25</v>
      </c>
      <c r="H70" s="69">
        <v>340</v>
      </c>
      <c r="I70" s="69">
        <f t="shared" si="9"/>
        <v>5.828692307450476</v>
      </c>
      <c r="J70" s="69">
        <f t="shared" si="11"/>
        <v>6.563699999999999</v>
      </c>
      <c r="K70" s="69">
        <f t="shared" si="4"/>
        <v>5.2521008403361336</v>
      </c>
      <c r="L70" s="69">
        <f t="shared" si="5"/>
        <v>5.2521008403361336</v>
      </c>
      <c r="M70" s="69">
        <f t="shared" si="10"/>
        <v>357.14285714285711</v>
      </c>
      <c r="N70" s="69">
        <f t="shared" si="7"/>
        <v>39.208219763775283</v>
      </c>
      <c r="O70" s="70">
        <f t="shared" si="8"/>
        <v>36.316896</v>
      </c>
      <c r="P70" s="38"/>
    </row>
    <row r="71" spans="1:16" x14ac:dyDescent="0.35">
      <c r="A71" s="13" t="s">
        <v>44</v>
      </c>
      <c r="B71" s="64">
        <v>69</v>
      </c>
      <c r="C71" s="65">
        <v>50</v>
      </c>
      <c r="D71" s="66">
        <v>50</v>
      </c>
      <c r="E71" s="66">
        <v>40</v>
      </c>
      <c r="F71" s="67">
        <v>35</v>
      </c>
      <c r="G71" s="68">
        <f t="shared" si="1"/>
        <v>43.75</v>
      </c>
      <c r="H71" s="69">
        <v>345</v>
      </c>
      <c r="I71" s="69">
        <f t="shared" si="9"/>
        <v>5.828692307450476</v>
      </c>
      <c r="J71" s="69">
        <f t="shared" si="11"/>
        <v>6.563699999999999</v>
      </c>
      <c r="K71" s="69">
        <f t="shared" si="4"/>
        <v>5.570409982174688</v>
      </c>
      <c r="L71" s="69">
        <f t="shared" si="5"/>
        <v>5.570409982174688</v>
      </c>
      <c r="M71" s="69">
        <f t="shared" si="10"/>
        <v>384.35828877005349</v>
      </c>
      <c r="N71" s="69">
        <f t="shared" si="7"/>
        <v>17.821480444029369</v>
      </c>
      <c r="O71" s="70">
        <f t="shared" si="8"/>
        <v>37.392893999999998</v>
      </c>
      <c r="P71" s="38"/>
    </row>
    <row r="72" spans="1:16" x14ac:dyDescent="0.35">
      <c r="A72" s="13" t="s">
        <v>44</v>
      </c>
      <c r="B72" s="64">
        <v>70</v>
      </c>
      <c r="C72" s="65">
        <v>50</v>
      </c>
      <c r="D72" s="66">
        <v>50</v>
      </c>
      <c r="E72" s="66">
        <v>45</v>
      </c>
      <c r="F72" s="67">
        <v>45</v>
      </c>
      <c r="G72" s="68">
        <f t="shared" si="1"/>
        <v>47.5</v>
      </c>
      <c r="H72" s="69">
        <v>350</v>
      </c>
      <c r="I72" s="69">
        <f t="shared" si="9"/>
        <v>5.828692307450476</v>
      </c>
      <c r="J72" s="69">
        <f t="shared" si="11"/>
        <v>6.563699999999999</v>
      </c>
      <c r="K72" s="69">
        <f t="shared" si="4"/>
        <v>6.0478736949325187</v>
      </c>
      <c r="L72" s="69">
        <f t="shared" si="5"/>
        <v>6.0478736949325187</v>
      </c>
      <c r="M72" s="69">
        <f t="shared" si="10"/>
        <v>423.35115864527631</v>
      </c>
      <c r="N72" s="69">
        <f t="shared" ref="N72:N81" si="12">B72*(ABS(L72-$P$6))</f>
        <v>15.342697123742992</v>
      </c>
      <c r="O72" s="70">
        <f t="shared" si="8"/>
        <v>38.4846</v>
      </c>
      <c r="P72" s="38"/>
    </row>
    <row r="73" spans="1:16" x14ac:dyDescent="0.35">
      <c r="A73" s="13" t="s">
        <v>44</v>
      </c>
      <c r="B73" s="64">
        <v>71</v>
      </c>
      <c r="C73" s="65">
        <v>40</v>
      </c>
      <c r="D73" s="66">
        <v>35</v>
      </c>
      <c r="E73" s="66">
        <v>35</v>
      </c>
      <c r="F73" s="67">
        <v>35</v>
      </c>
      <c r="G73" s="68">
        <f t="shared" si="1"/>
        <v>36.25</v>
      </c>
      <c r="H73" s="69">
        <v>355</v>
      </c>
      <c r="I73" s="69">
        <f t="shared" si="9"/>
        <v>5.828692307450476</v>
      </c>
      <c r="J73" s="69">
        <f t="shared" si="11"/>
        <v>6.563699999999999</v>
      </c>
      <c r="K73" s="69">
        <f t="shared" si="4"/>
        <v>4.6154825566590265</v>
      </c>
      <c r="L73" s="69">
        <f t="shared" si="5"/>
        <v>4.6154825566590265</v>
      </c>
      <c r="M73" s="69">
        <f t="shared" si="10"/>
        <v>327.69926152279089</v>
      </c>
      <c r="N73" s="69">
        <f t="shared" si="12"/>
        <v>86.13789230619291</v>
      </c>
      <c r="O73" s="70">
        <f t="shared" si="8"/>
        <v>39.592013999999999</v>
      </c>
      <c r="P73" s="38"/>
    </row>
    <row r="74" spans="1:16" x14ac:dyDescent="0.35">
      <c r="A74" s="13" t="s">
        <v>44</v>
      </c>
      <c r="B74" s="64">
        <v>72</v>
      </c>
      <c r="C74" s="65">
        <v>60</v>
      </c>
      <c r="D74" s="66">
        <v>60</v>
      </c>
      <c r="E74" s="66">
        <v>50</v>
      </c>
      <c r="F74" s="67">
        <v>50</v>
      </c>
      <c r="G74" s="68">
        <f t="shared" si="1"/>
        <v>55</v>
      </c>
      <c r="H74" s="69">
        <v>360</v>
      </c>
      <c r="I74" s="69">
        <f t="shared" si="9"/>
        <v>5.828692307450476</v>
      </c>
      <c r="J74" s="69">
        <f t="shared" si="11"/>
        <v>6.563699999999999</v>
      </c>
      <c r="K74" s="69">
        <f t="shared" si="4"/>
        <v>7.0028011204481793</v>
      </c>
      <c r="L74" s="69">
        <f t="shared" si="5"/>
        <v>7.0028011204481793</v>
      </c>
      <c r="M74" s="69">
        <f t="shared" si="10"/>
        <v>504.20168067226894</v>
      </c>
      <c r="N74" s="69">
        <f t="shared" si="12"/>
        <v>84.535834535834638</v>
      </c>
      <c r="O74" s="70">
        <f t="shared" si="8"/>
        <v>40.715136000000001</v>
      </c>
      <c r="P74" s="38"/>
    </row>
    <row r="75" spans="1:16" x14ac:dyDescent="0.35">
      <c r="A75" s="13" t="s">
        <v>44</v>
      </c>
      <c r="B75" s="64">
        <v>73</v>
      </c>
      <c r="C75" s="65">
        <v>40</v>
      </c>
      <c r="D75" s="66">
        <v>35</v>
      </c>
      <c r="E75" s="66">
        <v>35</v>
      </c>
      <c r="F75" s="67">
        <v>35</v>
      </c>
      <c r="G75" s="68">
        <f t="shared" si="1"/>
        <v>36.25</v>
      </c>
      <c r="H75" s="69">
        <v>365</v>
      </c>
      <c r="I75" s="69">
        <f t="shared" si="9"/>
        <v>5.828692307450476</v>
      </c>
      <c r="J75" s="69">
        <f t="shared" si="11"/>
        <v>6.563699999999999</v>
      </c>
      <c r="K75" s="69">
        <f t="shared" si="4"/>
        <v>4.6154825566590265</v>
      </c>
      <c r="L75" s="69">
        <f t="shared" si="5"/>
        <v>4.6154825566590265</v>
      </c>
      <c r="M75" s="69">
        <f t="shared" si="10"/>
        <v>336.93022663610896</v>
      </c>
      <c r="N75" s="69">
        <f t="shared" si="12"/>
        <v>88.564311807775809</v>
      </c>
      <c r="O75" s="70">
        <f t="shared" si="8"/>
        <v>41.853966</v>
      </c>
      <c r="P75" s="38"/>
    </row>
    <row r="76" spans="1:16" x14ac:dyDescent="0.35">
      <c r="A76" s="13" t="s">
        <v>44</v>
      </c>
      <c r="B76" s="64">
        <v>74</v>
      </c>
      <c r="C76" s="65">
        <v>40</v>
      </c>
      <c r="D76" s="66">
        <v>40</v>
      </c>
      <c r="E76" s="66">
        <v>45</v>
      </c>
      <c r="F76" s="67">
        <v>45</v>
      </c>
      <c r="G76" s="68">
        <f t="shared" si="1"/>
        <v>42.5</v>
      </c>
      <c r="H76" s="69">
        <v>370</v>
      </c>
      <c r="I76" s="69">
        <f t="shared" si="9"/>
        <v>5.828692307450476</v>
      </c>
      <c r="J76" s="69">
        <f t="shared" si="11"/>
        <v>6.563699999999999</v>
      </c>
      <c r="K76" s="69">
        <f t="shared" si="4"/>
        <v>5.4112554112554108</v>
      </c>
      <c r="L76" s="69">
        <f t="shared" si="5"/>
        <v>5.4112554112554108</v>
      </c>
      <c r="M76" s="69">
        <f t="shared" si="10"/>
        <v>400.4329004329004</v>
      </c>
      <c r="N76" s="69">
        <f t="shared" si="12"/>
        <v>30.890330318434824</v>
      </c>
      <c r="O76" s="70">
        <f t="shared" si="8"/>
        <v>43.008503999999995</v>
      </c>
      <c r="P76" s="38"/>
    </row>
    <row r="77" spans="1:16" x14ac:dyDescent="0.35">
      <c r="A77" s="13" t="s">
        <v>45</v>
      </c>
      <c r="B77" s="64">
        <v>75</v>
      </c>
      <c r="C77" s="65">
        <v>35</v>
      </c>
      <c r="D77" s="66">
        <v>40</v>
      </c>
      <c r="E77" s="66">
        <v>45</v>
      </c>
      <c r="F77" s="67">
        <v>45</v>
      </c>
      <c r="G77" s="68">
        <f t="shared" si="1"/>
        <v>41.25</v>
      </c>
      <c r="H77" s="69">
        <v>375</v>
      </c>
      <c r="I77" s="69">
        <f t="shared" si="9"/>
        <v>5.828692307450476</v>
      </c>
      <c r="J77" s="69">
        <f t="shared" si="11"/>
        <v>6.563699999999999</v>
      </c>
      <c r="K77" s="69">
        <f t="shared" si="4"/>
        <v>5.2521008403361336</v>
      </c>
      <c r="L77" s="69">
        <f t="shared" si="5"/>
        <v>5.2521008403361336</v>
      </c>
      <c r="M77" s="69">
        <f t="shared" ref="M77:M82" si="13">B77*L77</f>
        <v>393.90756302521004</v>
      </c>
      <c r="N77" s="69">
        <f t="shared" si="12"/>
        <v>43.244360033575681</v>
      </c>
      <c r="O77" s="70">
        <f t="shared" ref="O77:O82" si="14">(3.1416*(H77^2))/10000</f>
        <v>44.178750000000001</v>
      </c>
      <c r="P77" s="38"/>
    </row>
    <row r="78" spans="1:16" x14ac:dyDescent="0.35">
      <c r="A78" s="13" t="s">
        <v>45</v>
      </c>
      <c r="B78" s="64">
        <v>76</v>
      </c>
      <c r="C78" s="65">
        <v>45</v>
      </c>
      <c r="D78" s="66">
        <v>45</v>
      </c>
      <c r="E78" s="66">
        <v>40</v>
      </c>
      <c r="F78" s="67">
        <v>40</v>
      </c>
      <c r="G78" s="68">
        <f t="shared" si="1"/>
        <v>42.5</v>
      </c>
      <c r="H78" s="69">
        <v>380</v>
      </c>
      <c r="I78" s="69">
        <f t="shared" si="9"/>
        <v>5.828692307450476</v>
      </c>
      <c r="J78" s="69">
        <f t="shared" si="11"/>
        <v>6.563699999999999</v>
      </c>
      <c r="K78" s="69">
        <f t="shared" si="4"/>
        <v>5.4112554112554108</v>
      </c>
      <c r="L78" s="69">
        <f t="shared" si="5"/>
        <v>5.4112554112554108</v>
      </c>
      <c r="M78" s="69">
        <f t="shared" si="13"/>
        <v>411.25541125541122</v>
      </c>
      <c r="N78" s="69">
        <f t="shared" si="12"/>
        <v>31.725204110824954</v>
      </c>
      <c r="O78" s="70">
        <f t="shared" si="14"/>
        <v>45.364703999999996</v>
      </c>
      <c r="P78" s="38"/>
    </row>
    <row r="79" spans="1:16" x14ac:dyDescent="0.35">
      <c r="A79" s="13" t="s">
        <v>45</v>
      </c>
      <c r="B79" s="64">
        <v>77</v>
      </c>
      <c r="C79" s="65">
        <v>35</v>
      </c>
      <c r="D79" s="66">
        <v>35</v>
      </c>
      <c r="E79" s="66">
        <v>40</v>
      </c>
      <c r="F79" s="67">
        <v>40</v>
      </c>
      <c r="G79" s="68">
        <f t="shared" si="1"/>
        <v>37.5</v>
      </c>
      <c r="H79" s="69">
        <v>385</v>
      </c>
      <c r="I79" s="69">
        <f t="shared" si="9"/>
        <v>5.828692307450476</v>
      </c>
      <c r="J79" s="69">
        <f t="shared" si="11"/>
        <v>6.563699999999999</v>
      </c>
      <c r="K79" s="69">
        <f t="shared" si="4"/>
        <v>4.7746371275783037</v>
      </c>
      <c r="L79" s="69">
        <f t="shared" si="5"/>
        <v>4.7746371275783037</v>
      </c>
      <c r="M79" s="69">
        <f t="shared" si="13"/>
        <v>367.64705882352939</v>
      </c>
      <c r="N79" s="69">
        <f t="shared" si="12"/>
        <v>81.162248850157255</v>
      </c>
      <c r="O79" s="70">
        <f t="shared" si="14"/>
        <v>46.566365999999995</v>
      </c>
      <c r="P79" s="37"/>
    </row>
    <row r="80" spans="1:16" x14ac:dyDescent="0.35">
      <c r="A80" s="13" t="s">
        <v>45</v>
      </c>
      <c r="B80" s="64">
        <v>78</v>
      </c>
      <c r="C80" s="65">
        <v>5</v>
      </c>
      <c r="D80" s="66">
        <v>5</v>
      </c>
      <c r="E80" s="66">
        <v>5</v>
      </c>
      <c r="F80" s="67">
        <v>5</v>
      </c>
      <c r="G80" s="68">
        <f t="shared" si="1"/>
        <v>5</v>
      </c>
      <c r="H80" s="69">
        <v>390</v>
      </c>
      <c r="I80" s="69">
        <f t="shared" si="9"/>
        <v>5.828692307450476</v>
      </c>
      <c r="J80" s="69">
        <f t="shared" si="11"/>
        <v>6.563699999999999</v>
      </c>
      <c r="K80" s="69">
        <f t="shared" si="4"/>
        <v>0.63661828367710716</v>
      </c>
      <c r="L80" s="69">
        <f t="shared" si="5"/>
        <v>0.63661828367710716</v>
      </c>
      <c r="M80" s="69">
        <f t="shared" si="13"/>
        <v>49.65622612681436</v>
      </c>
      <c r="N80" s="69">
        <f>B80*(ABS(L80-$P$6))</f>
        <v>404.9817738543228</v>
      </c>
      <c r="O80" s="70">
        <f t="shared" si="14"/>
        <v>47.783735999999998</v>
      </c>
      <c r="P80" s="37"/>
    </row>
    <row r="81" spans="1:16" x14ac:dyDescent="0.35">
      <c r="A81" s="13" t="s">
        <v>45</v>
      </c>
      <c r="B81" s="64">
        <v>79</v>
      </c>
      <c r="C81" s="65">
        <v>5</v>
      </c>
      <c r="D81" s="66">
        <v>5</v>
      </c>
      <c r="E81" s="66">
        <v>15</v>
      </c>
      <c r="F81" s="67">
        <v>15</v>
      </c>
      <c r="G81" s="68">
        <f t="shared" si="1"/>
        <v>10</v>
      </c>
      <c r="H81" s="69">
        <v>395</v>
      </c>
      <c r="I81" s="69">
        <f t="shared" si="9"/>
        <v>5.828692307450476</v>
      </c>
      <c r="J81" s="69">
        <f t="shared" si="11"/>
        <v>6.563699999999999</v>
      </c>
      <c r="K81" s="69">
        <f t="shared" si="4"/>
        <v>1.2732365673542143</v>
      </c>
      <c r="L81" s="69">
        <f t="shared" si="5"/>
        <v>1.2732365673542143</v>
      </c>
      <c r="M81" s="69">
        <f t="shared" si="13"/>
        <v>100.58568882098292</v>
      </c>
      <c r="N81" s="69">
        <f t="shared" si="12"/>
        <v>359.88100346760467</v>
      </c>
      <c r="O81" s="70">
        <f t="shared" si="14"/>
        <v>49.016814000000004</v>
      </c>
      <c r="P81" s="37"/>
    </row>
    <row r="82" spans="1:16" ht="21" thickBot="1" x14ac:dyDescent="0.4">
      <c r="A82" s="55" t="s">
        <v>45</v>
      </c>
      <c r="B82" s="73">
        <v>80</v>
      </c>
      <c r="C82" s="74">
        <v>50</v>
      </c>
      <c r="D82" s="75">
        <v>50</v>
      </c>
      <c r="E82" s="75">
        <v>0</v>
      </c>
      <c r="F82" s="76">
        <v>0</v>
      </c>
      <c r="G82" s="77">
        <f>(C82+D82+E82+F82)/4</f>
        <v>25</v>
      </c>
      <c r="H82" s="78">
        <v>400</v>
      </c>
      <c r="I82" s="78">
        <f>$P$6</f>
        <v>5.828692307450476</v>
      </c>
      <c r="J82" s="78">
        <f t="shared" si="11"/>
        <v>6.563699999999999</v>
      </c>
      <c r="K82" s="78">
        <f t="shared" si="4"/>
        <v>3.1830914183855357</v>
      </c>
      <c r="L82" s="78">
        <f t="shared" si="5"/>
        <v>3.1830914183855357</v>
      </c>
      <c r="M82" s="78">
        <f t="shared" si="13"/>
        <v>254.64731347084285</v>
      </c>
      <c r="N82" s="78">
        <f>B82*(ABS(L82-$P$6))</f>
        <v>211.64807112519523</v>
      </c>
      <c r="O82" s="79">
        <f t="shared" si="14"/>
        <v>50.265599999999999</v>
      </c>
      <c r="P82" s="37"/>
    </row>
    <row r="83" spans="1:16" ht="21" thickBot="1" x14ac:dyDescent="0.4">
      <c r="A83" s="56"/>
      <c r="B83" s="80">
        <f>SUM(B3:B82)</f>
        <v>3240</v>
      </c>
      <c r="C83" s="149"/>
      <c r="D83" s="150"/>
      <c r="E83" s="150"/>
      <c r="F83" s="150"/>
      <c r="G83" s="150"/>
      <c r="H83" s="150"/>
      <c r="I83" s="150"/>
      <c r="J83" s="151"/>
      <c r="K83" s="80">
        <f t="shared" si="4"/>
        <v>0</v>
      </c>
      <c r="L83" s="80">
        <f>SUM(L3:L82)</f>
        <v>467.43697478991584</v>
      </c>
      <c r="M83" s="80">
        <f>SUM(M3:M82)</f>
        <v>18884.963076139542</v>
      </c>
      <c r="N83" s="80">
        <f>SUM(N3:N82)</f>
        <v>4252.0672410378293</v>
      </c>
      <c r="O83" s="81"/>
      <c r="P83" s="8"/>
    </row>
    <row r="84" spans="1:16" x14ac:dyDescent="0.35">
      <c r="O84" s="9"/>
    </row>
    <row r="85" spans="1:16" x14ac:dyDescent="0.35">
      <c r="C85" s="11"/>
      <c r="O85" s="9"/>
    </row>
    <row r="86" spans="1:16" x14ac:dyDescent="0.35">
      <c r="O86" s="9"/>
    </row>
    <row r="87" spans="1:16" x14ac:dyDescent="0.35">
      <c r="O87" s="9"/>
    </row>
    <row r="88" spans="1:16" x14ac:dyDescent="0.35">
      <c r="O88" s="9"/>
    </row>
    <row r="89" spans="1:16" x14ac:dyDescent="0.35">
      <c r="O89" s="9"/>
    </row>
    <row r="90" spans="1:16" x14ac:dyDescent="0.35">
      <c r="O90" s="9"/>
    </row>
    <row r="91" spans="1:16" x14ac:dyDescent="0.35">
      <c r="O91" s="9"/>
    </row>
    <row r="92" spans="1:16" x14ac:dyDescent="0.35">
      <c r="O92" s="9"/>
    </row>
    <row r="93" spans="1:16" x14ac:dyDescent="0.35">
      <c r="O93" s="9"/>
    </row>
    <row r="94" spans="1:16" x14ac:dyDescent="0.35">
      <c r="O94" s="9"/>
    </row>
    <row r="95" spans="1:16" x14ac:dyDescent="0.35">
      <c r="O95" s="9"/>
    </row>
    <row r="96" spans="1:16" x14ac:dyDescent="0.35">
      <c r="O96" s="9"/>
    </row>
    <row r="97" spans="15:15" x14ac:dyDescent="0.35">
      <c r="O97" s="9"/>
    </row>
    <row r="98" spans="15:15" x14ac:dyDescent="0.35">
      <c r="O98" s="9"/>
    </row>
    <row r="99" spans="15:15" x14ac:dyDescent="0.35">
      <c r="O99" s="9"/>
    </row>
    <row r="100" spans="15:15" x14ac:dyDescent="0.35">
      <c r="O100" s="9"/>
    </row>
    <row r="101" spans="15:15" x14ac:dyDescent="0.35">
      <c r="O101" s="9"/>
    </row>
    <row r="102" spans="15:15" x14ac:dyDescent="0.35">
      <c r="O102" s="9"/>
    </row>
    <row r="103" spans="15:15" x14ac:dyDescent="0.35">
      <c r="O103" s="9"/>
    </row>
    <row r="104" spans="15:15" x14ac:dyDescent="0.35">
      <c r="O104" s="9"/>
    </row>
    <row r="105" spans="15:15" x14ac:dyDescent="0.35">
      <c r="O105" s="9"/>
    </row>
    <row r="106" spans="15:15" x14ac:dyDescent="0.35">
      <c r="O106" s="9"/>
    </row>
    <row r="107" spans="15:15" x14ac:dyDescent="0.35">
      <c r="O107" s="9"/>
    </row>
    <row r="108" spans="15:15" x14ac:dyDescent="0.35">
      <c r="O108" s="9"/>
    </row>
    <row r="109" spans="15:15" x14ac:dyDescent="0.35">
      <c r="O109" s="9"/>
    </row>
    <row r="110" spans="15:15" x14ac:dyDescent="0.35">
      <c r="O110" s="9"/>
    </row>
    <row r="111" spans="15:15" x14ac:dyDescent="0.35">
      <c r="O111" s="9"/>
    </row>
    <row r="112" spans="15:15" x14ac:dyDescent="0.35">
      <c r="O112" s="9"/>
    </row>
    <row r="113" spans="15:15" x14ac:dyDescent="0.35">
      <c r="O113" s="9"/>
    </row>
    <row r="114" spans="15:15" x14ac:dyDescent="0.35">
      <c r="O114" s="9"/>
    </row>
    <row r="115" spans="15:15" x14ac:dyDescent="0.35">
      <c r="O115" s="9"/>
    </row>
    <row r="116" spans="15:15" x14ac:dyDescent="0.35">
      <c r="O116" s="9"/>
    </row>
    <row r="117" spans="15:15" x14ac:dyDescent="0.35">
      <c r="O117" s="9"/>
    </row>
    <row r="118" spans="15:15" x14ac:dyDescent="0.35">
      <c r="O118" s="9"/>
    </row>
    <row r="119" spans="15:15" x14ac:dyDescent="0.35">
      <c r="O119" s="9"/>
    </row>
    <row r="120" spans="15:15" x14ac:dyDescent="0.35">
      <c r="O120" s="9"/>
    </row>
    <row r="121" spans="15:15" x14ac:dyDescent="0.35">
      <c r="O121" s="9"/>
    </row>
    <row r="122" spans="15:15" x14ac:dyDescent="0.35">
      <c r="O122" s="9"/>
    </row>
    <row r="123" spans="15:15" x14ac:dyDescent="0.35">
      <c r="O123" s="9"/>
    </row>
    <row r="124" spans="15:15" x14ac:dyDescent="0.35">
      <c r="O124" s="9"/>
    </row>
    <row r="125" spans="15:15" x14ac:dyDescent="0.35">
      <c r="O125" s="9"/>
    </row>
    <row r="126" spans="15:15" x14ac:dyDescent="0.35">
      <c r="O126" s="9"/>
    </row>
    <row r="127" spans="15:15" x14ac:dyDescent="0.35">
      <c r="O127" s="9"/>
    </row>
    <row r="128" spans="15:15" x14ac:dyDescent="0.35">
      <c r="O128" s="9"/>
    </row>
    <row r="129" spans="15:15" x14ac:dyDescent="0.35">
      <c r="O129" s="9"/>
    </row>
    <row r="130" spans="15:15" x14ac:dyDescent="0.35">
      <c r="O130" s="9"/>
    </row>
    <row r="131" spans="15:15" x14ac:dyDescent="0.35">
      <c r="O131" s="9"/>
    </row>
    <row r="132" spans="15:15" x14ac:dyDescent="0.35">
      <c r="O132" s="9"/>
    </row>
    <row r="133" spans="15:15" x14ac:dyDescent="0.35">
      <c r="O133" s="9"/>
    </row>
    <row r="134" spans="15:15" x14ac:dyDescent="0.35">
      <c r="O134" s="9"/>
    </row>
    <row r="135" spans="15:15" x14ac:dyDescent="0.35">
      <c r="O135" s="9"/>
    </row>
    <row r="136" spans="15:15" x14ac:dyDescent="0.35">
      <c r="O136" s="9"/>
    </row>
    <row r="137" spans="15:15" x14ac:dyDescent="0.35">
      <c r="O137" s="9"/>
    </row>
    <row r="138" spans="15:15" x14ac:dyDescent="0.35">
      <c r="O138" s="9"/>
    </row>
    <row r="139" spans="15:15" x14ac:dyDescent="0.35">
      <c r="O139" s="9"/>
    </row>
    <row r="140" spans="15:15" x14ac:dyDescent="0.35">
      <c r="O140" s="9"/>
    </row>
    <row r="141" spans="15:15" x14ac:dyDescent="0.35">
      <c r="O141" s="9"/>
    </row>
    <row r="142" spans="15:15" x14ac:dyDescent="0.35">
      <c r="O142" s="9"/>
    </row>
    <row r="143" spans="15:15" x14ac:dyDescent="0.35">
      <c r="O143" s="9"/>
    </row>
    <row r="144" spans="15:15" x14ac:dyDescent="0.35">
      <c r="O144" s="9"/>
    </row>
    <row r="145" spans="15:15" x14ac:dyDescent="0.35">
      <c r="O145" s="9"/>
    </row>
    <row r="146" spans="15:15" x14ac:dyDescent="0.35">
      <c r="O146" s="9"/>
    </row>
    <row r="147" spans="15:15" x14ac:dyDescent="0.35">
      <c r="O147" s="9"/>
    </row>
    <row r="148" spans="15:15" x14ac:dyDescent="0.35">
      <c r="O148" s="9"/>
    </row>
    <row r="149" spans="15:15" x14ac:dyDescent="0.35">
      <c r="O149" s="9"/>
    </row>
    <row r="150" spans="15:15" x14ac:dyDescent="0.35">
      <c r="O150" s="9"/>
    </row>
    <row r="151" spans="15:15" x14ac:dyDescent="0.35">
      <c r="O151" s="9"/>
    </row>
    <row r="152" spans="15:15" x14ac:dyDescent="0.35">
      <c r="O152" s="9"/>
    </row>
    <row r="153" spans="15:15" x14ac:dyDescent="0.35">
      <c r="O153" s="9"/>
    </row>
    <row r="154" spans="15:15" x14ac:dyDescent="0.35">
      <c r="O154" s="9"/>
    </row>
    <row r="155" spans="15:15" x14ac:dyDescent="0.35">
      <c r="O155" s="9"/>
    </row>
    <row r="156" spans="15:15" x14ac:dyDescent="0.35">
      <c r="O156" s="9"/>
    </row>
    <row r="157" spans="15:15" x14ac:dyDescent="0.35">
      <c r="O157" s="9"/>
    </row>
    <row r="158" spans="15:15" x14ac:dyDescent="0.35">
      <c r="O158" s="9"/>
    </row>
    <row r="159" spans="15:15" x14ac:dyDescent="0.35">
      <c r="O159" s="9"/>
    </row>
    <row r="160" spans="15:15" x14ac:dyDescent="0.35">
      <c r="O160" s="9"/>
    </row>
    <row r="161" spans="15:15" x14ac:dyDescent="0.35">
      <c r="O161" s="9"/>
    </row>
    <row r="162" spans="15:15" x14ac:dyDescent="0.35">
      <c r="O162" s="9"/>
    </row>
    <row r="163" spans="15:15" x14ac:dyDescent="0.35">
      <c r="O163" s="9"/>
    </row>
    <row r="164" spans="15:15" x14ac:dyDescent="0.35">
      <c r="O164" s="9"/>
    </row>
    <row r="165" spans="15:15" x14ac:dyDescent="0.35">
      <c r="O165" s="9"/>
    </row>
    <row r="166" spans="15:15" x14ac:dyDescent="0.35">
      <c r="O166" s="9"/>
    </row>
    <row r="167" spans="15:15" x14ac:dyDescent="0.35">
      <c r="O167" s="9"/>
    </row>
    <row r="168" spans="15:15" x14ac:dyDescent="0.35">
      <c r="O168" s="9"/>
    </row>
    <row r="169" spans="15:15" x14ac:dyDescent="0.35">
      <c r="O169" s="9"/>
    </row>
    <row r="170" spans="15:15" x14ac:dyDescent="0.35">
      <c r="O170" s="9"/>
    </row>
    <row r="171" spans="15:15" x14ac:dyDescent="0.35">
      <c r="O171" s="9"/>
    </row>
    <row r="172" spans="15:15" x14ac:dyDescent="0.35">
      <c r="O172" s="9"/>
    </row>
    <row r="173" spans="15:15" x14ac:dyDescent="0.35">
      <c r="O173" s="9"/>
    </row>
    <row r="174" spans="15:15" x14ac:dyDescent="0.35">
      <c r="O174" s="9"/>
    </row>
    <row r="175" spans="15:15" x14ac:dyDescent="0.35">
      <c r="O175" s="9"/>
    </row>
    <row r="176" spans="15:15" x14ac:dyDescent="0.35">
      <c r="O176" s="9"/>
    </row>
    <row r="177" spans="15:15" x14ac:dyDescent="0.35">
      <c r="O177" s="9"/>
    </row>
    <row r="178" spans="15:15" x14ac:dyDescent="0.35">
      <c r="O178" s="9"/>
    </row>
  </sheetData>
  <mergeCells count="11">
    <mergeCell ref="O1:O2"/>
    <mergeCell ref="I1:I2"/>
    <mergeCell ref="C83:J83"/>
    <mergeCell ref="P3:P4"/>
    <mergeCell ref="H1:H2"/>
    <mergeCell ref="J1:J2"/>
    <mergeCell ref="K1:K2"/>
    <mergeCell ref="P1:P2"/>
    <mergeCell ref="C1:F1"/>
    <mergeCell ref="G1:G2"/>
    <mergeCell ref="N1:N2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25" orientation="portrait" horizontalDpi="4294967294" verticalDpi="144" r:id="rId1"/>
  <headerFooter alignWithMargins="0"/>
  <rowBreaks count="1" manualBreakCount="1">
    <brk id="125" max="16383" man="1"/>
  </rowBreaks>
  <ignoredErrors>
    <ignoredError sqref="G3" unlockedFormula="1"/>
  </ignoredErrors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09B022-6789-4FA8-8D53-94B4E3397298}">
  <sheetPr>
    <tabColor rgb="FFFFC000"/>
  </sheetPr>
  <dimension ref="A1:Q147"/>
  <sheetViews>
    <sheetView showGridLines="0" zoomScale="85" zoomScaleNormal="85" zoomScaleSheetLayoutView="40" workbookViewId="0">
      <selection activeCell="G164" sqref="G164"/>
    </sheetView>
  </sheetViews>
  <sheetFormatPr defaultColWidth="9.109375" defaultRowHeight="13.2" x14ac:dyDescent="0.25"/>
  <cols>
    <col min="1" max="1" width="17.109375" style="4" customWidth="1"/>
    <col min="2" max="2" width="14.109375" style="4" customWidth="1"/>
    <col min="3" max="3" width="14.33203125" style="10" customWidth="1"/>
    <col min="4" max="5" width="27.5546875" style="4" customWidth="1"/>
    <col min="6" max="6" width="26.5546875" style="4" customWidth="1"/>
    <col min="7" max="7" width="25.44140625" style="4" customWidth="1"/>
    <col min="8" max="8" width="9.109375" style="4"/>
    <col min="9" max="9" width="17.6640625" style="4" bestFit="1" customWidth="1"/>
    <col min="10" max="10" width="28.6640625" style="4" customWidth="1"/>
    <col min="11" max="11" width="22.44140625" style="4" customWidth="1"/>
    <col min="12" max="12" width="30" style="4" customWidth="1"/>
    <col min="13" max="13" width="9.109375" style="4"/>
    <col min="14" max="14" width="29" style="4" customWidth="1"/>
    <col min="15" max="15" width="26.88671875" style="4" customWidth="1"/>
    <col min="16" max="16" width="23.88671875" style="4" customWidth="1"/>
    <col min="17" max="17" width="19.109375" style="4" customWidth="1"/>
    <col min="18" max="16384" width="9.109375" style="4"/>
  </cols>
  <sheetData>
    <row r="1" spans="1:17" ht="13.8" thickBot="1" x14ac:dyDescent="0.3">
      <c r="A1" s="2" t="s">
        <v>13</v>
      </c>
      <c r="B1" s="3" t="s">
        <v>14</v>
      </c>
      <c r="C1" s="3" t="s">
        <v>15</v>
      </c>
      <c r="D1" s="3" t="s">
        <v>37</v>
      </c>
      <c r="E1" s="3" t="s">
        <v>37</v>
      </c>
      <c r="F1" s="99" t="s">
        <v>23</v>
      </c>
      <c r="G1" s="100" t="s">
        <v>16</v>
      </c>
      <c r="I1" s="161" t="s">
        <v>49</v>
      </c>
      <c r="J1" s="162"/>
      <c r="K1" s="162" t="s">
        <v>50</v>
      </c>
      <c r="L1" s="163"/>
      <c r="N1" s="124" t="s">
        <v>53</v>
      </c>
      <c r="O1" s="125" t="s">
        <v>54</v>
      </c>
      <c r="P1" s="125" t="s">
        <v>54</v>
      </c>
      <c r="Q1" s="126" t="s">
        <v>53</v>
      </c>
    </row>
    <row r="2" spans="1:17" ht="13.8" thickBot="1" x14ac:dyDescent="0.3">
      <c r="A2" s="113">
        <v>1</v>
      </c>
      <c r="B2" s="95">
        <v>10.19</v>
      </c>
      <c r="C2" s="101">
        <v>1</v>
      </c>
      <c r="D2" s="96">
        <f>C2/B2*3.6</f>
        <v>0.35328753680078506</v>
      </c>
      <c r="E2" s="97">
        <f>SUM(AVERAGE($D$2:$D$146))</f>
        <v>2.4214180747789058</v>
      </c>
      <c r="F2" s="98">
        <v>3.8</v>
      </c>
      <c r="G2" s="127">
        <v>7</v>
      </c>
      <c r="I2" s="120" t="s">
        <v>37</v>
      </c>
      <c r="J2" s="121" t="s">
        <v>51</v>
      </c>
      <c r="K2" s="121" t="s">
        <v>37</v>
      </c>
      <c r="L2" s="122" t="s">
        <v>52</v>
      </c>
      <c r="M2" s="123" t="s">
        <v>5</v>
      </c>
      <c r="N2" s="116" t="s">
        <v>51</v>
      </c>
      <c r="O2" s="117" t="s">
        <v>51</v>
      </c>
      <c r="P2" s="90" t="s">
        <v>65</v>
      </c>
      <c r="Q2" s="118" t="s">
        <v>66</v>
      </c>
    </row>
    <row r="3" spans="1:17" x14ac:dyDescent="0.25">
      <c r="A3" s="114">
        <v>2</v>
      </c>
      <c r="B3" s="83">
        <v>10.39</v>
      </c>
      <c r="C3" s="91">
        <v>1.5</v>
      </c>
      <c r="D3" s="89">
        <f>C3/B3*3.6</f>
        <v>0.51973051010587101</v>
      </c>
      <c r="E3" s="16">
        <f>SUM(AVERAGE($D$2:$D$146))</f>
        <v>2.4214180747789058</v>
      </c>
      <c r="F3" s="83">
        <v>4</v>
      </c>
      <c r="G3" s="128">
        <v>8.5</v>
      </c>
      <c r="I3" s="119">
        <v>0.35328753680078506</v>
      </c>
      <c r="J3" s="129">
        <v>1</v>
      </c>
      <c r="K3" s="119">
        <v>0.35328753680078506</v>
      </c>
      <c r="L3" s="129">
        <v>1</v>
      </c>
      <c r="M3" s="88">
        <v>2.38</v>
      </c>
      <c r="N3" s="119">
        <v>1</v>
      </c>
      <c r="O3" s="129">
        <v>1</v>
      </c>
      <c r="P3" s="130">
        <v>7</v>
      </c>
      <c r="Q3" s="130">
        <v>7</v>
      </c>
    </row>
    <row r="4" spans="1:17" x14ac:dyDescent="0.25">
      <c r="A4" s="114">
        <v>3</v>
      </c>
      <c r="B4" s="83">
        <v>10.130000000000001</v>
      </c>
      <c r="C4" s="91">
        <v>1.9</v>
      </c>
      <c r="D4" s="89">
        <f>C4/B4*3.6</f>
        <v>0.67522211253701869</v>
      </c>
      <c r="E4" s="16">
        <f t="shared" ref="E4:E67" si="0">SUM(AVERAGE($D$2:$D$146))</f>
        <v>2.4214180747789058</v>
      </c>
      <c r="F4" s="83">
        <v>3.9</v>
      </c>
      <c r="G4" s="128">
        <v>10</v>
      </c>
      <c r="I4" s="88">
        <v>0.51973051010587101</v>
      </c>
      <c r="J4" s="131">
        <v>2</v>
      </c>
      <c r="K4" s="88">
        <v>0.51973051010587101</v>
      </c>
      <c r="L4" s="131">
        <v>2</v>
      </c>
      <c r="M4" s="88">
        <v>2.38</v>
      </c>
      <c r="N4" s="88">
        <v>2</v>
      </c>
      <c r="O4" s="131">
        <v>2</v>
      </c>
      <c r="P4" s="131">
        <v>8.5</v>
      </c>
      <c r="Q4" s="131">
        <v>8.5</v>
      </c>
    </row>
    <row r="5" spans="1:17" x14ac:dyDescent="0.25">
      <c r="A5" s="114">
        <v>4</v>
      </c>
      <c r="B5" s="83">
        <v>10.32</v>
      </c>
      <c r="C5" s="92">
        <v>2.2999999999999998</v>
      </c>
      <c r="D5" s="89">
        <f t="shared" ref="D5:D33" si="1">C5/B5*3.6</f>
        <v>0.80232558139534882</v>
      </c>
      <c r="E5" s="16">
        <f t="shared" si="0"/>
        <v>2.4214180747789058</v>
      </c>
      <c r="F5" s="83">
        <v>3.8</v>
      </c>
      <c r="G5" s="128">
        <v>11</v>
      </c>
      <c r="I5" s="88">
        <v>0.67522211253701869</v>
      </c>
      <c r="J5" s="131">
        <v>3</v>
      </c>
      <c r="K5" s="88">
        <v>0.67522211253701869</v>
      </c>
      <c r="L5" s="131">
        <v>3</v>
      </c>
      <c r="M5" s="88">
        <v>2.38</v>
      </c>
      <c r="N5" s="88">
        <v>3</v>
      </c>
      <c r="O5" s="131">
        <v>3</v>
      </c>
      <c r="P5" s="131">
        <v>10</v>
      </c>
      <c r="Q5" s="131">
        <v>10</v>
      </c>
    </row>
    <row r="6" spans="1:17" x14ac:dyDescent="0.25">
      <c r="A6" s="114">
        <v>5</v>
      </c>
      <c r="B6" s="83">
        <v>10.32</v>
      </c>
      <c r="C6" s="92">
        <v>2.65</v>
      </c>
      <c r="D6" s="89">
        <f t="shared" si="1"/>
        <v>0.92441860465116288</v>
      </c>
      <c r="E6" s="16">
        <f t="shared" si="0"/>
        <v>2.4214180747789058</v>
      </c>
      <c r="F6" s="83">
        <v>3.8</v>
      </c>
      <c r="G6" s="128">
        <v>12.5</v>
      </c>
      <c r="I6" s="88">
        <v>0.80232558139534882</v>
      </c>
      <c r="J6" s="131">
        <v>4</v>
      </c>
      <c r="K6" s="88">
        <v>0.80232558139534882</v>
      </c>
      <c r="L6" s="131">
        <v>4</v>
      </c>
      <c r="M6" s="88">
        <v>2.38</v>
      </c>
      <c r="N6" s="88">
        <v>4</v>
      </c>
      <c r="O6" s="131">
        <v>4</v>
      </c>
      <c r="P6" s="131">
        <v>11</v>
      </c>
      <c r="Q6" s="131">
        <v>11</v>
      </c>
    </row>
    <row r="7" spans="1:17" x14ac:dyDescent="0.25">
      <c r="A7" s="114">
        <v>6</v>
      </c>
      <c r="B7" s="83">
        <v>10.32</v>
      </c>
      <c r="C7" s="92">
        <v>3.25</v>
      </c>
      <c r="D7" s="89">
        <f t="shared" si="1"/>
        <v>1.1337209302325582</v>
      </c>
      <c r="E7" s="16">
        <f t="shared" si="0"/>
        <v>2.4214180747789058</v>
      </c>
      <c r="F7" s="83">
        <v>3.7</v>
      </c>
      <c r="G7" s="128">
        <v>13</v>
      </c>
      <c r="I7" s="88">
        <v>0.92441860465116288</v>
      </c>
      <c r="J7" s="131">
        <v>5</v>
      </c>
      <c r="K7" s="88">
        <v>0.92441860465116288</v>
      </c>
      <c r="L7" s="131">
        <v>5</v>
      </c>
      <c r="M7" s="88">
        <v>2.38</v>
      </c>
      <c r="N7" s="88">
        <v>5</v>
      </c>
      <c r="O7" s="131">
        <v>5</v>
      </c>
      <c r="P7" s="131">
        <v>12.5</v>
      </c>
      <c r="Q7" s="131">
        <v>12.5</v>
      </c>
    </row>
    <row r="8" spans="1:17" x14ac:dyDescent="0.25">
      <c r="A8" s="114">
        <v>7</v>
      </c>
      <c r="B8" s="83">
        <v>10.26</v>
      </c>
      <c r="C8" s="92">
        <v>3.05</v>
      </c>
      <c r="D8" s="89">
        <f t="shared" si="1"/>
        <v>1.0701754385964912</v>
      </c>
      <c r="E8" s="16">
        <f t="shared" si="0"/>
        <v>2.4214180747789058</v>
      </c>
      <c r="F8" s="83">
        <v>3.7</v>
      </c>
      <c r="G8" s="128">
        <v>14</v>
      </c>
      <c r="I8" s="88">
        <v>1.1337209302325582</v>
      </c>
      <c r="J8" s="131">
        <v>6</v>
      </c>
      <c r="K8" s="88">
        <v>1.0701754385964912</v>
      </c>
      <c r="L8" s="131">
        <v>7</v>
      </c>
      <c r="M8" s="88">
        <v>2.38</v>
      </c>
      <c r="N8" s="88">
        <v>6</v>
      </c>
      <c r="O8" s="131">
        <v>6</v>
      </c>
      <c r="P8" s="131">
        <v>13</v>
      </c>
      <c r="Q8" s="131">
        <v>13</v>
      </c>
    </row>
    <row r="9" spans="1:17" x14ac:dyDescent="0.25">
      <c r="A9" s="114">
        <v>8</v>
      </c>
      <c r="B9" s="83">
        <v>10.46</v>
      </c>
      <c r="C9" s="92">
        <v>4.1500000000000004</v>
      </c>
      <c r="D9" s="89">
        <f t="shared" si="1"/>
        <v>1.4282982791587</v>
      </c>
      <c r="E9" s="16">
        <f t="shared" si="0"/>
        <v>2.4214180747789058</v>
      </c>
      <c r="F9" s="83">
        <v>3.6</v>
      </c>
      <c r="G9" s="128">
        <v>15</v>
      </c>
      <c r="I9" s="88">
        <v>1.0701754385964912</v>
      </c>
      <c r="J9" s="131">
        <v>7</v>
      </c>
      <c r="K9" s="88">
        <v>1.1337209302325582</v>
      </c>
      <c r="L9" s="131">
        <v>6</v>
      </c>
      <c r="M9" s="88">
        <v>2.38</v>
      </c>
      <c r="N9" s="88">
        <v>7</v>
      </c>
      <c r="O9" s="131">
        <v>7</v>
      </c>
      <c r="P9" s="131">
        <v>14</v>
      </c>
      <c r="Q9" s="131">
        <v>14</v>
      </c>
    </row>
    <row r="10" spans="1:17" ht="13.5" customHeight="1" x14ac:dyDescent="0.25">
      <c r="A10" s="114">
        <v>9</v>
      </c>
      <c r="B10" s="83">
        <v>10.45</v>
      </c>
      <c r="C10" s="92">
        <v>5</v>
      </c>
      <c r="D10" s="89">
        <f t="shared" si="1"/>
        <v>1.7224880382775123</v>
      </c>
      <c r="E10" s="16">
        <f t="shared" si="0"/>
        <v>2.4214180747789058</v>
      </c>
      <c r="F10" s="83">
        <v>3.4</v>
      </c>
      <c r="G10" s="128">
        <v>16</v>
      </c>
      <c r="I10" s="88">
        <v>1.4282982791587</v>
      </c>
      <c r="J10" s="131">
        <v>8</v>
      </c>
      <c r="K10" s="88">
        <v>1.3591481122942886</v>
      </c>
      <c r="L10" s="131">
        <v>11</v>
      </c>
      <c r="M10" s="88">
        <v>2.38</v>
      </c>
      <c r="N10" s="88">
        <v>8</v>
      </c>
      <c r="O10" s="131">
        <v>8</v>
      </c>
      <c r="P10" s="131">
        <v>15</v>
      </c>
      <c r="Q10" s="131">
        <v>15</v>
      </c>
    </row>
    <row r="11" spans="1:17" ht="13.5" customHeight="1" x14ac:dyDescent="0.25">
      <c r="A11" s="114">
        <v>10</v>
      </c>
      <c r="B11" s="83">
        <v>10.25</v>
      </c>
      <c r="C11" s="92">
        <v>4.8</v>
      </c>
      <c r="D11" s="89">
        <f t="shared" si="1"/>
        <v>1.6858536585365853</v>
      </c>
      <c r="E11" s="16">
        <f t="shared" si="0"/>
        <v>2.4214180747789058</v>
      </c>
      <c r="F11" s="83">
        <v>3.4</v>
      </c>
      <c r="G11" s="128">
        <v>17</v>
      </c>
      <c r="I11" s="88">
        <v>1.7224880382775123</v>
      </c>
      <c r="J11" s="131">
        <v>9</v>
      </c>
      <c r="K11" s="88">
        <v>1.4282982791587</v>
      </c>
      <c r="L11" s="131">
        <v>8</v>
      </c>
      <c r="M11" s="88">
        <v>2.38</v>
      </c>
      <c r="N11" s="88">
        <v>9</v>
      </c>
      <c r="O11" s="131">
        <v>18</v>
      </c>
      <c r="P11" s="131">
        <v>15.5</v>
      </c>
      <c r="Q11" s="131">
        <v>16</v>
      </c>
    </row>
    <row r="12" spans="1:17" x14ac:dyDescent="0.25">
      <c r="A12" s="114">
        <v>11</v>
      </c>
      <c r="B12" s="83">
        <v>10.33</v>
      </c>
      <c r="C12" s="92">
        <v>3.9</v>
      </c>
      <c r="D12" s="89">
        <f t="shared" si="1"/>
        <v>1.3591481122942886</v>
      </c>
      <c r="E12" s="16">
        <f t="shared" si="0"/>
        <v>2.4214180747789058</v>
      </c>
      <c r="F12" s="83">
        <v>3.3</v>
      </c>
      <c r="G12" s="128">
        <v>17.5</v>
      </c>
      <c r="I12" s="88">
        <v>1.6858536585365853</v>
      </c>
      <c r="J12" s="131">
        <v>10</v>
      </c>
      <c r="K12" s="88">
        <v>1.4883268482490273</v>
      </c>
      <c r="L12" s="131">
        <v>92</v>
      </c>
      <c r="M12" s="88">
        <v>2.38</v>
      </c>
      <c r="N12" s="88">
        <v>10</v>
      </c>
      <c r="O12" s="131">
        <v>19</v>
      </c>
      <c r="P12" s="131">
        <v>15.5</v>
      </c>
      <c r="Q12" s="131">
        <v>17</v>
      </c>
    </row>
    <row r="13" spans="1:17" x14ac:dyDescent="0.25">
      <c r="A13" s="114">
        <v>12</v>
      </c>
      <c r="B13" s="83">
        <v>10.31</v>
      </c>
      <c r="C13" s="92">
        <v>6.3</v>
      </c>
      <c r="D13" s="16">
        <f t="shared" si="1"/>
        <v>2.1998060135790491</v>
      </c>
      <c r="E13" s="16">
        <f t="shared" si="0"/>
        <v>2.4214180747789058</v>
      </c>
      <c r="F13" s="83">
        <v>3.3</v>
      </c>
      <c r="G13" s="128">
        <v>18.5</v>
      </c>
      <c r="I13" s="88">
        <v>1.3591481122942886</v>
      </c>
      <c r="J13" s="131">
        <v>11</v>
      </c>
      <c r="K13" s="88">
        <v>1.5458015267175571</v>
      </c>
      <c r="L13" s="131">
        <v>18</v>
      </c>
      <c r="M13" s="88">
        <v>2.38</v>
      </c>
      <c r="N13" s="88">
        <v>11</v>
      </c>
      <c r="O13" s="131">
        <v>9</v>
      </c>
      <c r="P13" s="131">
        <v>16</v>
      </c>
      <c r="Q13" s="131">
        <v>17.5</v>
      </c>
    </row>
    <row r="14" spans="1:17" x14ac:dyDescent="0.25">
      <c r="A14" s="114">
        <v>13</v>
      </c>
      <c r="B14" s="83">
        <v>10.58</v>
      </c>
      <c r="C14" s="92">
        <v>7.6</v>
      </c>
      <c r="D14" s="16">
        <f t="shared" si="1"/>
        <v>2.5860113421550093</v>
      </c>
      <c r="E14" s="16">
        <f t="shared" si="0"/>
        <v>2.4214180747789058</v>
      </c>
      <c r="F14" s="83">
        <v>3.2</v>
      </c>
      <c r="G14" s="128">
        <v>19</v>
      </c>
      <c r="I14" s="88">
        <v>2.1998060135790491</v>
      </c>
      <c r="J14" s="131">
        <v>12</v>
      </c>
      <c r="K14" s="88">
        <v>1.5667311411992264</v>
      </c>
      <c r="L14" s="131">
        <v>19</v>
      </c>
      <c r="M14" s="88">
        <v>2.38</v>
      </c>
      <c r="N14" s="88">
        <v>12</v>
      </c>
      <c r="O14" s="131">
        <v>20</v>
      </c>
      <c r="P14" s="131">
        <v>16</v>
      </c>
      <c r="Q14" s="131">
        <v>18.5</v>
      </c>
    </row>
    <row r="15" spans="1:17" x14ac:dyDescent="0.25">
      <c r="A15" s="114">
        <v>14</v>
      </c>
      <c r="B15" s="83">
        <v>10.35</v>
      </c>
      <c r="C15" s="92">
        <v>8.4499999999999993</v>
      </c>
      <c r="D15" s="16">
        <f t="shared" si="1"/>
        <v>2.9391304347826086</v>
      </c>
      <c r="E15" s="16">
        <f t="shared" si="0"/>
        <v>2.4214180747789058</v>
      </c>
      <c r="F15" s="83">
        <v>3.2</v>
      </c>
      <c r="G15" s="128">
        <v>20</v>
      </c>
      <c r="I15" s="88">
        <v>2.5860113421550093</v>
      </c>
      <c r="J15" s="131">
        <v>13</v>
      </c>
      <c r="K15" s="88">
        <v>1.6475170399221033</v>
      </c>
      <c r="L15" s="131">
        <v>23</v>
      </c>
      <c r="M15" s="88">
        <v>2.38</v>
      </c>
      <c r="N15" s="88">
        <v>13</v>
      </c>
      <c r="O15" s="131">
        <v>21</v>
      </c>
      <c r="P15" s="131">
        <v>16</v>
      </c>
      <c r="Q15" s="131">
        <v>19</v>
      </c>
    </row>
    <row r="16" spans="1:17" x14ac:dyDescent="0.25">
      <c r="A16" s="114">
        <v>15</v>
      </c>
      <c r="B16" s="83">
        <v>10.25</v>
      </c>
      <c r="C16" s="92">
        <v>8.5500000000000007</v>
      </c>
      <c r="D16" s="16">
        <f t="shared" si="1"/>
        <v>3.0029268292682931</v>
      </c>
      <c r="E16" s="16">
        <f t="shared" si="0"/>
        <v>2.4214180747789058</v>
      </c>
      <c r="F16" s="83">
        <v>3.1</v>
      </c>
      <c r="G16" s="128">
        <v>20.5</v>
      </c>
      <c r="I16" s="88">
        <v>2.9391304347826086</v>
      </c>
      <c r="J16" s="131">
        <v>14</v>
      </c>
      <c r="K16" s="88">
        <v>1.6858536585365853</v>
      </c>
      <c r="L16" s="131">
        <v>10</v>
      </c>
      <c r="M16" s="88">
        <v>2.38</v>
      </c>
      <c r="N16" s="88">
        <v>14</v>
      </c>
      <c r="O16" s="131">
        <v>22</v>
      </c>
      <c r="P16" s="131">
        <v>16.5</v>
      </c>
      <c r="Q16" s="131">
        <v>20</v>
      </c>
    </row>
    <row r="17" spans="1:17" x14ac:dyDescent="0.25">
      <c r="A17" s="114">
        <v>16</v>
      </c>
      <c r="B17" s="16">
        <v>10.5</v>
      </c>
      <c r="C17" s="92">
        <v>9</v>
      </c>
      <c r="D17" s="16">
        <f t="shared" si="1"/>
        <v>3.0857142857142854</v>
      </c>
      <c r="E17" s="16">
        <f t="shared" si="0"/>
        <v>2.4214180747789058</v>
      </c>
      <c r="F17" s="83">
        <v>3</v>
      </c>
      <c r="G17" s="128">
        <v>21</v>
      </c>
      <c r="I17" s="88">
        <v>3.0029268292682931</v>
      </c>
      <c r="J17" s="131">
        <v>15</v>
      </c>
      <c r="K17" s="88">
        <v>1.6924583741429968</v>
      </c>
      <c r="L17" s="131">
        <v>111</v>
      </c>
      <c r="M17" s="88">
        <v>2.38</v>
      </c>
      <c r="N17" s="88">
        <v>15</v>
      </c>
      <c r="O17" s="131">
        <v>23</v>
      </c>
      <c r="P17" s="131">
        <v>16.5</v>
      </c>
      <c r="Q17" s="131">
        <v>20.5</v>
      </c>
    </row>
    <row r="18" spans="1:17" x14ac:dyDescent="0.25">
      <c r="A18" s="114">
        <v>17</v>
      </c>
      <c r="B18" s="83">
        <v>10.19</v>
      </c>
      <c r="C18" s="92">
        <v>7.7</v>
      </c>
      <c r="D18" s="16">
        <f t="shared" si="1"/>
        <v>2.7203140333660456</v>
      </c>
      <c r="E18" s="16">
        <f t="shared" si="0"/>
        <v>2.4214180747789058</v>
      </c>
      <c r="F18" s="83">
        <v>3</v>
      </c>
      <c r="G18" s="128">
        <v>19</v>
      </c>
      <c r="I18" s="88">
        <v>3.0857142857142854</v>
      </c>
      <c r="J18" s="131">
        <v>16</v>
      </c>
      <c r="K18" s="88">
        <v>1.7192982456140353</v>
      </c>
      <c r="L18" s="131">
        <v>83</v>
      </c>
      <c r="M18" s="88">
        <v>2.38</v>
      </c>
      <c r="N18" s="88">
        <v>16</v>
      </c>
      <c r="O18" s="131">
        <v>24</v>
      </c>
      <c r="P18" s="131">
        <v>16.5</v>
      </c>
      <c r="Q18" s="131">
        <v>21</v>
      </c>
    </row>
    <row r="19" spans="1:17" x14ac:dyDescent="0.25">
      <c r="A19" s="114">
        <v>18</v>
      </c>
      <c r="B19" s="83">
        <v>10.48</v>
      </c>
      <c r="C19" s="92">
        <v>4.5</v>
      </c>
      <c r="D19" s="16">
        <f t="shared" si="1"/>
        <v>1.5458015267175571</v>
      </c>
      <c r="E19" s="16">
        <f t="shared" si="0"/>
        <v>2.4214180747789058</v>
      </c>
      <c r="F19" s="83">
        <v>2.9</v>
      </c>
      <c r="G19" s="128">
        <v>15.5</v>
      </c>
      <c r="I19" s="88">
        <v>2.7203140333660456</v>
      </c>
      <c r="J19" s="131">
        <v>17</v>
      </c>
      <c r="K19" s="88">
        <v>1.7224880382775123</v>
      </c>
      <c r="L19" s="131">
        <v>9</v>
      </c>
      <c r="M19" s="88">
        <v>2.38</v>
      </c>
      <c r="N19" s="88">
        <v>17</v>
      </c>
      <c r="O19" s="131">
        <v>10</v>
      </c>
      <c r="P19" s="131">
        <v>17</v>
      </c>
      <c r="Q19" s="131">
        <v>19</v>
      </c>
    </row>
    <row r="20" spans="1:17" x14ac:dyDescent="0.25">
      <c r="A20" s="114">
        <v>19</v>
      </c>
      <c r="B20" s="83">
        <v>10.34</v>
      </c>
      <c r="C20" s="92">
        <v>4.5</v>
      </c>
      <c r="D20" s="16">
        <f t="shared" si="1"/>
        <v>1.5667311411992264</v>
      </c>
      <c r="E20" s="16">
        <f t="shared" si="0"/>
        <v>2.4214180747789058</v>
      </c>
      <c r="F20" s="83">
        <v>2.9</v>
      </c>
      <c r="G20" s="128">
        <v>15.5</v>
      </c>
      <c r="I20" s="88">
        <v>1.5458015267175571</v>
      </c>
      <c r="J20" s="131">
        <v>18</v>
      </c>
      <c r="K20" s="88">
        <v>1.7320754716981133</v>
      </c>
      <c r="L20" s="131">
        <v>144</v>
      </c>
      <c r="M20" s="88">
        <v>2.38</v>
      </c>
      <c r="N20" s="88">
        <v>18</v>
      </c>
      <c r="O20" s="131">
        <v>25</v>
      </c>
      <c r="P20" s="131">
        <v>17</v>
      </c>
      <c r="Q20" s="131">
        <v>15.5</v>
      </c>
    </row>
    <row r="21" spans="1:17" x14ac:dyDescent="0.25">
      <c r="A21" s="114">
        <v>20</v>
      </c>
      <c r="B21" s="83">
        <v>10.93</v>
      </c>
      <c r="C21" s="92">
        <v>5.45</v>
      </c>
      <c r="D21" s="16">
        <f t="shared" si="1"/>
        <v>1.7950594693504118</v>
      </c>
      <c r="E21" s="16">
        <f t="shared" si="0"/>
        <v>2.4214180747789058</v>
      </c>
      <c r="F21" s="83">
        <v>2.8</v>
      </c>
      <c r="G21" s="128">
        <v>16</v>
      </c>
      <c r="I21" s="88">
        <v>1.5667311411992264</v>
      </c>
      <c r="J21" s="131">
        <v>19</v>
      </c>
      <c r="K21" s="88">
        <v>1.7396449704142014</v>
      </c>
      <c r="L21" s="131">
        <v>21</v>
      </c>
      <c r="M21" s="88">
        <v>2.38</v>
      </c>
      <c r="N21" s="88">
        <v>19</v>
      </c>
      <c r="O21" s="131">
        <v>26</v>
      </c>
      <c r="P21" s="131">
        <v>17</v>
      </c>
      <c r="Q21" s="131">
        <v>15.5</v>
      </c>
    </row>
    <row r="22" spans="1:17" x14ac:dyDescent="0.25">
      <c r="A22" s="114">
        <v>21</v>
      </c>
      <c r="B22" s="83">
        <v>10.14</v>
      </c>
      <c r="C22" s="92">
        <v>4.9000000000000004</v>
      </c>
      <c r="D22" s="16">
        <f t="shared" si="1"/>
        <v>1.7396449704142014</v>
      </c>
      <c r="E22" s="16">
        <f t="shared" si="0"/>
        <v>2.4214180747789058</v>
      </c>
      <c r="F22" s="83">
        <v>2.7</v>
      </c>
      <c r="G22" s="128">
        <v>16</v>
      </c>
      <c r="I22" s="88">
        <v>1.7950594693504118</v>
      </c>
      <c r="J22" s="131">
        <v>20</v>
      </c>
      <c r="K22" s="88">
        <v>1.7509727626459146</v>
      </c>
      <c r="L22" s="131">
        <v>102</v>
      </c>
      <c r="M22" s="88">
        <v>2.38</v>
      </c>
      <c r="N22" s="88">
        <v>20</v>
      </c>
      <c r="O22" s="131">
        <v>11</v>
      </c>
      <c r="P22" s="131">
        <v>17.5</v>
      </c>
      <c r="Q22" s="131">
        <v>16</v>
      </c>
    </row>
    <row r="23" spans="1:17" x14ac:dyDescent="0.25">
      <c r="A23" s="114">
        <v>22</v>
      </c>
      <c r="B23" s="83">
        <v>10.199999999999999</v>
      </c>
      <c r="C23" s="92">
        <v>5.5</v>
      </c>
      <c r="D23" s="16">
        <f t="shared" si="1"/>
        <v>1.9411764705882357</v>
      </c>
      <c r="E23" s="16">
        <f t="shared" si="0"/>
        <v>2.4214180747789058</v>
      </c>
      <c r="F23" s="83">
        <v>2.8</v>
      </c>
      <c r="G23" s="128">
        <v>16.5</v>
      </c>
      <c r="I23" s="88">
        <v>1.7396449704142014</v>
      </c>
      <c r="J23" s="131">
        <v>21</v>
      </c>
      <c r="K23" s="88">
        <v>1.7595307917888561</v>
      </c>
      <c r="L23" s="131">
        <v>100</v>
      </c>
      <c r="M23" s="88">
        <v>2.38</v>
      </c>
      <c r="N23" s="88">
        <v>21</v>
      </c>
      <c r="O23" s="131">
        <v>27</v>
      </c>
      <c r="P23" s="131">
        <v>17.5</v>
      </c>
      <c r="Q23" s="131">
        <v>16</v>
      </c>
    </row>
    <row r="24" spans="1:17" x14ac:dyDescent="0.25">
      <c r="A24" s="114">
        <v>23</v>
      </c>
      <c r="B24" s="83">
        <v>10.27</v>
      </c>
      <c r="C24" s="92">
        <v>4.7</v>
      </c>
      <c r="D24" s="16">
        <f t="shared" si="1"/>
        <v>1.6475170399221033</v>
      </c>
      <c r="E24" s="16">
        <f t="shared" si="0"/>
        <v>2.4214180747789058</v>
      </c>
      <c r="F24" s="83">
        <v>2.7</v>
      </c>
      <c r="G24" s="128">
        <v>16.5</v>
      </c>
      <c r="I24" s="88">
        <v>1.9411764705882357</v>
      </c>
      <c r="J24" s="131">
        <v>22</v>
      </c>
      <c r="K24" s="88">
        <v>1.7629774730656218</v>
      </c>
      <c r="L24" s="131">
        <v>25</v>
      </c>
      <c r="M24" s="88">
        <v>2.38</v>
      </c>
      <c r="N24" s="88">
        <v>22</v>
      </c>
      <c r="O24" s="131">
        <v>28</v>
      </c>
      <c r="P24" s="131">
        <v>17.5</v>
      </c>
      <c r="Q24" s="131">
        <v>16.5</v>
      </c>
    </row>
    <row r="25" spans="1:17" x14ac:dyDescent="0.25">
      <c r="A25" s="114">
        <v>24</v>
      </c>
      <c r="B25" s="83">
        <v>10.61</v>
      </c>
      <c r="C25" s="92">
        <v>5.4</v>
      </c>
      <c r="D25" s="16">
        <f t="shared" si="1"/>
        <v>1.8322337417530636</v>
      </c>
      <c r="E25" s="16">
        <f t="shared" si="0"/>
        <v>2.4214180747789058</v>
      </c>
      <c r="F25" s="83">
        <v>2.6</v>
      </c>
      <c r="G25" s="128">
        <v>16.5</v>
      </c>
      <c r="I25" s="88">
        <v>1.6475170399221033</v>
      </c>
      <c r="J25" s="131">
        <v>23</v>
      </c>
      <c r="K25" s="88">
        <v>1.7719298245614035</v>
      </c>
      <c r="L25" s="131">
        <v>93</v>
      </c>
      <c r="M25" s="88">
        <v>2.38</v>
      </c>
      <c r="N25" s="88">
        <v>23</v>
      </c>
      <c r="O25" s="131">
        <v>29</v>
      </c>
      <c r="P25" s="131">
        <v>17.5</v>
      </c>
      <c r="Q25" s="131">
        <v>16.5</v>
      </c>
    </row>
    <row r="26" spans="1:17" x14ac:dyDescent="0.25">
      <c r="A26" s="114">
        <v>25</v>
      </c>
      <c r="B26" s="83">
        <v>10.210000000000001</v>
      </c>
      <c r="C26" s="92">
        <v>5</v>
      </c>
      <c r="D26" s="16">
        <f t="shared" si="1"/>
        <v>1.7629774730656218</v>
      </c>
      <c r="E26" s="16">
        <f t="shared" si="0"/>
        <v>2.4214180747789058</v>
      </c>
      <c r="F26" s="83">
        <v>2.7</v>
      </c>
      <c r="G26" s="128">
        <v>17</v>
      </c>
      <c r="I26" s="88">
        <v>1.8322337417530636</v>
      </c>
      <c r="J26" s="131">
        <v>24</v>
      </c>
      <c r="K26" s="88">
        <v>1.7950594693504118</v>
      </c>
      <c r="L26" s="131">
        <v>20</v>
      </c>
      <c r="M26" s="88">
        <v>2.38</v>
      </c>
      <c r="N26" s="88">
        <v>24</v>
      </c>
      <c r="O26" s="131">
        <v>30</v>
      </c>
      <c r="P26" s="131">
        <v>18</v>
      </c>
      <c r="Q26" s="131">
        <v>16.5</v>
      </c>
    </row>
    <row r="27" spans="1:17" x14ac:dyDescent="0.25">
      <c r="A27" s="114">
        <v>26</v>
      </c>
      <c r="B27" s="83">
        <v>10.59</v>
      </c>
      <c r="C27" s="92">
        <v>6.45</v>
      </c>
      <c r="D27" s="16">
        <f t="shared" si="1"/>
        <v>2.1926345609065154</v>
      </c>
      <c r="E27" s="16">
        <f t="shared" si="0"/>
        <v>2.4214180747789058</v>
      </c>
      <c r="F27" s="83">
        <v>2.7</v>
      </c>
      <c r="G27" s="128">
        <v>17</v>
      </c>
      <c r="I27" s="88">
        <v>1.7629774730656218</v>
      </c>
      <c r="J27" s="131">
        <v>25</v>
      </c>
      <c r="K27" s="88">
        <v>1.8068833652007648</v>
      </c>
      <c r="L27" s="131">
        <v>82</v>
      </c>
      <c r="M27" s="88">
        <v>2.38</v>
      </c>
      <c r="N27" s="88">
        <v>25</v>
      </c>
      <c r="O27" s="131">
        <v>31</v>
      </c>
      <c r="P27" s="131">
        <v>18</v>
      </c>
      <c r="Q27" s="131">
        <v>17</v>
      </c>
    </row>
    <row r="28" spans="1:17" ht="12.75" customHeight="1" x14ac:dyDescent="0.25">
      <c r="A28" s="114">
        <v>27</v>
      </c>
      <c r="B28" s="83">
        <v>10.4</v>
      </c>
      <c r="C28" s="92">
        <v>6.25</v>
      </c>
      <c r="D28" s="16">
        <f t="shared" si="1"/>
        <v>2.1634615384615383</v>
      </c>
      <c r="E28" s="16">
        <f t="shared" si="0"/>
        <v>2.4214180747789058</v>
      </c>
      <c r="F28" s="83">
        <v>2.6</v>
      </c>
      <c r="G28" s="128">
        <v>17.5</v>
      </c>
      <c r="I28" s="88">
        <v>2.1926345609065154</v>
      </c>
      <c r="J28" s="131">
        <v>26</v>
      </c>
      <c r="K28" s="88">
        <v>1.8104448742746615</v>
      </c>
      <c r="L28" s="131">
        <v>94</v>
      </c>
      <c r="M28" s="88">
        <v>2.38</v>
      </c>
      <c r="N28" s="88">
        <v>26</v>
      </c>
      <c r="O28" s="131">
        <v>32</v>
      </c>
      <c r="P28" s="131">
        <v>18</v>
      </c>
      <c r="Q28" s="131">
        <v>17</v>
      </c>
    </row>
    <row r="29" spans="1:17" ht="12.75" customHeight="1" x14ac:dyDescent="0.25">
      <c r="A29" s="114">
        <v>28</v>
      </c>
      <c r="B29" s="83">
        <v>10.46</v>
      </c>
      <c r="C29" s="92">
        <v>6.4</v>
      </c>
      <c r="D29" s="16">
        <f t="shared" si="1"/>
        <v>2.2026768642447419</v>
      </c>
      <c r="E29" s="16">
        <f t="shared" si="0"/>
        <v>2.4214180747789058</v>
      </c>
      <c r="F29" s="83">
        <v>2.6</v>
      </c>
      <c r="G29" s="128">
        <v>17.5</v>
      </c>
      <c r="I29" s="88">
        <v>2.1634615384615383</v>
      </c>
      <c r="J29" s="131">
        <v>27</v>
      </c>
      <c r="K29" s="88">
        <v>1.8322337417530636</v>
      </c>
      <c r="L29" s="131">
        <v>24</v>
      </c>
      <c r="M29" s="88">
        <v>2.38</v>
      </c>
      <c r="N29" s="88">
        <v>27</v>
      </c>
      <c r="O29" s="131">
        <v>12</v>
      </c>
      <c r="P29" s="131">
        <v>18.5</v>
      </c>
      <c r="Q29" s="131">
        <v>17.5</v>
      </c>
    </row>
    <row r="30" spans="1:17" ht="12.75" customHeight="1" x14ac:dyDescent="0.25">
      <c r="A30" s="114">
        <v>29</v>
      </c>
      <c r="B30" s="83">
        <v>10.29</v>
      </c>
      <c r="C30" s="92">
        <v>6.4</v>
      </c>
      <c r="D30" s="16">
        <f t="shared" si="1"/>
        <v>2.2390670553935865</v>
      </c>
      <c r="E30" s="16">
        <f t="shared" si="0"/>
        <v>2.4214180747789058</v>
      </c>
      <c r="F30" s="83">
        <v>2.5</v>
      </c>
      <c r="G30" s="128">
        <v>17.5</v>
      </c>
      <c r="I30" s="88">
        <v>2.2026768642447419</v>
      </c>
      <c r="J30" s="131">
        <v>28</v>
      </c>
      <c r="K30" s="88">
        <v>1.8334965719882468</v>
      </c>
      <c r="L30" s="131">
        <v>99</v>
      </c>
      <c r="M30" s="88">
        <v>2.38</v>
      </c>
      <c r="N30" s="88">
        <v>28</v>
      </c>
      <c r="O30" s="131">
        <v>33</v>
      </c>
      <c r="P30" s="131">
        <v>18.5</v>
      </c>
      <c r="Q30" s="131">
        <v>17.5</v>
      </c>
    </row>
    <row r="31" spans="1:17" ht="12.75" customHeight="1" x14ac:dyDescent="0.25">
      <c r="A31" s="114">
        <v>30</v>
      </c>
      <c r="B31" s="83">
        <v>10.42</v>
      </c>
      <c r="C31" s="92">
        <v>6.65</v>
      </c>
      <c r="D31" s="16">
        <f t="shared" si="1"/>
        <v>2.2975047984644918</v>
      </c>
      <c r="E31" s="16">
        <f t="shared" si="0"/>
        <v>2.4214180747789058</v>
      </c>
      <c r="F31" s="83">
        <v>2.5</v>
      </c>
      <c r="G31" s="128">
        <v>18</v>
      </c>
      <c r="I31" s="88">
        <v>2.2390670553935865</v>
      </c>
      <c r="J31" s="131">
        <v>29</v>
      </c>
      <c r="K31" s="88">
        <v>1.8705882352941179</v>
      </c>
      <c r="L31" s="131">
        <v>114</v>
      </c>
      <c r="M31" s="88">
        <v>2.38</v>
      </c>
      <c r="N31" s="88">
        <v>29</v>
      </c>
      <c r="O31" s="131">
        <v>34</v>
      </c>
      <c r="P31" s="131">
        <v>18.5</v>
      </c>
      <c r="Q31" s="131">
        <v>17.5</v>
      </c>
    </row>
    <row r="32" spans="1:17" ht="12" customHeight="1" x14ac:dyDescent="0.25">
      <c r="A32" s="114">
        <v>31</v>
      </c>
      <c r="B32" s="83">
        <v>10.55</v>
      </c>
      <c r="C32" s="92">
        <v>6.5</v>
      </c>
      <c r="D32" s="16">
        <f t="shared" si="1"/>
        <v>2.2180094786729856</v>
      </c>
      <c r="E32" s="16">
        <f t="shared" si="0"/>
        <v>2.4214180747789058</v>
      </c>
      <c r="F32" s="83">
        <v>2.5</v>
      </c>
      <c r="G32" s="128">
        <v>18</v>
      </c>
      <c r="I32" s="88">
        <v>2.2975047984644918</v>
      </c>
      <c r="J32" s="131">
        <v>30</v>
      </c>
      <c r="K32" s="88">
        <v>1.8798029556650244</v>
      </c>
      <c r="L32" s="131">
        <v>95</v>
      </c>
      <c r="M32" s="88">
        <v>2.38</v>
      </c>
      <c r="N32" s="88">
        <v>30</v>
      </c>
      <c r="O32" s="131">
        <v>82</v>
      </c>
      <c r="P32" s="132">
        <v>18.5</v>
      </c>
      <c r="Q32" s="131">
        <v>18</v>
      </c>
    </row>
    <row r="33" spans="1:17" ht="12.75" customHeight="1" x14ac:dyDescent="0.25">
      <c r="A33" s="114">
        <v>32</v>
      </c>
      <c r="B33" s="83">
        <v>10.41</v>
      </c>
      <c r="C33" s="92">
        <v>6.85</v>
      </c>
      <c r="D33" s="16">
        <f t="shared" si="1"/>
        <v>2.3688760806916425</v>
      </c>
      <c r="E33" s="16">
        <f t="shared" si="0"/>
        <v>2.4214180747789058</v>
      </c>
      <c r="F33" s="83">
        <v>2.5</v>
      </c>
      <c r="G33" s="128">
        <v>18</v>
      </c>
      <c r="I33" s="88">
        <v>2.2180094786729856</v>
      </c>
      <c r="J33" s="131">
        <v>31</v>
      </c>
      <c r="K33" s="88">
        <v>1.8803418803418805</v>
      </c>
      <c r="L33" s="131">
        <v>85</v>
      </c>
      <c r="M33" s="88">
        <v>2.38</v>
      </c>
      <c r="N33" s="88">
        <v>31</v>
      </c>
      <c r="O33" s="131">
        <v>83</v>
      </c>
      <c r="P33" s="132">
        <v>18.5</v>
      </c>
      <c r="Q33" s="131">
        <v>18</v>
      </c>
    </row>
    <row r="34" spans="1:17" ht="15" customHeight="1" x14ac:dyDescent="0.25">
      <c r="A34" s="114">
        <v>33</v>
      </c>
      <c r="B34" s="83">
        <v>10.41</v>
      </c>
      <c r="C34" s="92">
        <v>7.4</v>
      </c>
      <c r="D34" s="16">
        <f t="shared" ref="D34:D64" si="2">C34/B34*3.6</f>
        <v>2.5590778097982709</v>
      </c>
      <c r="E34" s="16">
        <f t="shared" si="0"/>
        <v>2.4214180747789058</v>
      </c>
      <c r="F34" s="83">
        <v>2.5</v>
      </c>
      <c r="G34" s="128">
        <v>18.5</v>
      </c>
      <c r="I34" s="88">
        <v>2.3688760806916425</v>
      </c>
      <c r="J34" s="131">
        <v>32</v>
      </c>
      <c r="K34" s="88">
        <v>1.8853754940711462</v>
      </c>
      <c r="L34" s="131">
        <v>103</v>
      </c>
      <c r="M34" s="88">
        <v>2.38</v>
      </c>
      <c r="N34" s="88">
        <v>32</v>
      </c>
      <c r="O34" s="131">
        <v>84</v>
      </c>
      <c r="P34" s="132">
        <v>18.5</v>
      </c>
      <c r="Q34" s="131">
        <v>18</v>
      </c>
    </row>
    <row r="35" spans="1:17" ht="15" customHeight="1" x14ac:dyDescent="0.25">
      <c r="A35" s="114">
        <v>34</v>
      </c>
      <c r="B35" s="83">
        <v>10.26</v>
      </c>
      <c r="C35" s="92">
        <v>7.2</v>
      </c>
      <c r="D35" s="16">
        <f t="shared" si="2"/>
        <v>2.5263157894736845</v>
      </c>
      <c r="E35" s="16">
        <f t="shared" si="0"/>
        <v>2.4214180747789058</v>
      </c>
      <c r="F35" s="83">
        <v>2.4</v>
      </c>
      <c r="G35" s="128">
        <v>18.5</v>
      </c>
      <c r="I35" s="88">
        <v>2.5590778097982709</v>
      </c>
      <c r="J35" s="131">
        <v>33</v>
      </c>
      <c r="K35" s="88">
        <v>1.9075144508670518</v>
      </c>
      <c r="L35" s="131">
        <v>142</v>
      </c>
      <c r="M35" s="88">
        <v>2.38</v>
      </c>
      <c r="N35" s="88">
        <v>33</v>
      </c>
      <c r="O35" s="131">
        <v>85</v>
      </c>
      <c r="P35" s="132">
        <v>18.5</v>
      </c>
      <c r="Q35" s="131">
        <v>18.5</v>
      </c>
    </row>
    <row r="36" spans="1:17" ht="12.75" customHeight="1" x14ac:dyDescent="0.25">
      <c r="A36" s="114">
        <v>35</v>
      </c>
      <c r="B36" s="83">
        <v>10.39</v>
      </c>
      <c r="C36" s="92">
        <v>7.25</v>
      </c>
      <c r="D36" s="16">
        <f t="shared" si="2"/>
        <v>2.5120307988450432</v>
      </c>
      <c r="E36" s="16">
        <f t="shared" si="0"/>
        <v>2.4214180747789058</v>
      </c>
      <c r="F36" s="83">
        <v>2.4</v>
      </c>
      <c r="G36" s="128">
        <v>19</v>
      </c>
      <c r="I36" s="88">
        <v>2.5263157894736845</v>
      </c>
      <c r="J36" s="131">
        <v>34</v>
      </c>
      <c r="K36" s="88">
        <v>1.9130434782608696</v>
      </c>
      <c r="L36" s="131">
        <v>116</v>
      </c>
      <c r="M36" s="88">
        <v>2.38</v>
      </c>
      <c r="N36" s="88">
        <v>34</v>
      </c>
      <c r="O36" s="131">
        <v>86</v>
      </c>
      <c r="P36" s="132">
        <v>18.5</v>
      </c>
      <c r="Q36" s="131">
        <v>18.5</v>
      </c>
    </row>
    <row r="37" spans="1:17" ht="12.75" customHeight="1" x14ac:dyDescent="0.25">
      <c r="A37" s="114">
        <v>36</v>
      </c>
      <c r="B37" s="83">
        <v>10.94</v>
      </c>
      <c r="C37" s="92">
        <v>7.35</v>
      </c>
      <c r="D37" s="16">
        <f t="shared" si="2"/>
        <v>2.4186471663619744</v>
      </c>
      <c r="E37" s="16">
        <f t="shared" si="0"/>
        <v>2.4214180747789058</v>
      </c>
      <c r="F37" s="83">
        <v>2.2999999999999998</v>
      </c>
      <c r="G37" s="128">
        <v>19</v>
      </c>
      <c r="I37" s="88">
        <v>2.5120307988450432</v>
      </c>
      <c r="J37" s="131">
        <v>35</v>
      </c>
      <c r="K37" s="88">
        <v>1.9411764705882357</v>
      </c>
      <c r="L37" s="131">
        <v>22</v>
      </c>
      <c r="M37" s="88">
        <v>2.38</v>
      </c>
      <c r="N37" s="88">
        <v>35</v>
      </c>
      <c r="O37" s="131">
        <v>87</v>
      </c>
      <c r="P37" s="132">
        <v>18.5</v>
      </c>
      <c r="Q37" s="131">
        <v>19</v>
      </c>
    </row>
    <row r="38" spans="1:17" ht="12.75" customHeight="1" x14ac:dyDescent="0.25">
      <c r="A38" s="114">
        <v>37</v>
      </c>
      <c r="B38" s="83">
        <v>10.25</v>
      </c>
      <c r="C38" s="92">
        <v>7.5</v>
      </c>
      <c r="D38" s="16">
        <f t="shared" si="2"/>
        <v>2.6341463414634148</v>
      </c>
      <c r="E38" s="16">
        <f t="shared" si="0"/>
        <v>2.4214180747789058</v>
      </c>
      <c r="F38" s="83">
        <v>2.2999999999999998</v>
      </c>
      <c r="G38" s="128">
        <v>19</v>
      </c>
      <c r="I38" s="88">
        <v>2.4186471663619744</v>
      </c>
      <c r="J38" s="131">
        <v>36</v>
      </c>
      <c r="K38" s="88">
        <v>1.9420579420579422</v>
      </c>
      <c r="L38" s="131">
        <v>84</v>
      </c>
      <c r="M38" s="88">
        <v>2.38</v>
      </c>
      <c r="N38" s="88">
        <v>36</v>
      </c>
      <c r="O38" s="131">
        <v>88</v>
      </c>
      <c r="P38" s="132">
        <v>18.5</v>
      </c>
      <c r="Q38" s="131">
        <v>19</v>
      </c>
    </row>
    <row r="39" spans="1:17" x14ac:dyDescent="0.25">
      <c r="A39" s="114">
        <v>38</v>
      </c>
      <c r="B39" s="83">
        <v>10.52</v>
      </c>
      <c r="C39" s="92">
        <v>7.55</v>
      </c>
      <c r="D39" s="16">
        <f t="shared" si="2"/>
        <v>2.5836501901140685</v>
      </c>
      <c r="E39" s="16">
        <f t="shared" si="0"/>
        <v>2.4214180747789058</v>
      </c>
      <c r="F39" s="83">
        <v>2.2999999999999998</v>
      </c>
      <c r="G39" s="128">
        <v>19.5</v>
      </c>
      <c r="I39" s="88">
        <v>2.6341463414634148</v>
      </c>
      <c r="J39" s="131">
        <v>37</v>
      </c>
      <c r="K39" s="88">
        <v>1.9420579420579422</v>
      </c>
      <c r="L39" s="131">
        <v>140</v>
      </c>
      <c r="M39" s="88">
        <v>2.38</v>
      </c>
      <c r="N39" s="88">
        <v>37</v>
      </c>
      <c r="O39" s="131">
        <v>13</v>
      </c>
      <c r="P39" s="131">
        <v>19</v>
      </c>
      <c r="Q39" s="131">
        <v>19</v>
      </c>
    </row>
    <row r="40" spans="1:17" x14ac:dyDescent="0.25">
      <c r="A40" s="114">
        <v>39</v>
      </c>
      <c r="B40" s="83">
        <v>10.45</v>
      </c>
      <c r="C40" s="92">
        <v>7.25</v>
      </c>
      <c r="D40" s="16">
        <f t="shared" si="2"/>
        <v>2.4976076555023927</v>
      </c>
      <c r="E40" s="16">
        <f t="shared" si="0"/>
        <v>2.4214180747789058</v>
      </c>
      <c r="F40" s="83">
        <v>2.2999999999999998</v>
      </c>
      <c r="G40" s="128">
        <v>19.5</v>
      </c>
      <c r="I40" s="88">
        <v>2.5836501901140685</v>
      </c>
      <c r="J40" s="131">
        <v>38</v>
      </c>
      <c r="K40" s="88">
        <v>1.9572815533980583</v>
      </c>
      <c r="L40" s="131">
        <v>115</v>
      </c>
      <c r="M40" s="88">
        <v>2.38</v>
      </c>
      <c r="N40" s="88">
        <v>38</v>
      </c>
      <c r="O40" s="131">
        <v>17</v>
      </c>
      <c r="P40" s="131">
        <v>19</v>
      </c>
      <c r="Q40" s="131">
        <v>19.5</v>
      </c>
    </row>
    <row r="41" spans="1:17" ht="12" customHeight="1" x14ac:dyDescent="0.25">
      <c r="A41" s="114">
        <v>40</v>
      </c>
      <c r="B41" s="83">
        <v>10.45</v>
      </c>
      <c r="C41" s="92">
        <v>7.35</v>
      </c>
      <c r="D41" s="16">
        <f t="shared" si="2"/>
        <v>2.5320574162679428</v>
      </c>
      <c r="E41" s="16">
        <f t="shared" si="0"/>
        <v>2.4214180747789058</v>
      </c>
      <c r="F41" s="83">
        <v>2.2000000000000002</v>
      </c>
      <c r="G41" s="128">
        <v>19.5</v>
      </c>
      <c r="I41" s="88">
        <v>2.4976076555023927</v>
      </c>
      <c r="J41" s="131">
        <v>39</v>
      </c>
      <c r="K41" s="88">
        <v>1.9598853868194843</v>
      </c>
      <c r="L41" s="131">
        <v>98</v>
      </c>
      <c r="M41" s="88">
        <v>2.38</v>
      </c>
      <c r="N41" s="88">
        <v>39</v>
      </c>
      <c r="O41" s="131">
        <v>35</v>
      </c>
      <c r="P41" s="131">
        <v>19</v>
      </c>
      <c r="Q41" s="131">
        <v>19.5</v>
      </c>
    </row>
    <row r="42" spans="1:17" x14ac:dyDescent="0.25">
      <c r="A42" s="114">
        <v>41</v>
      </c>
      <c r="B42" s="83">
        <v>10.47</v>
      </c>
      <c r="C42" s="92">
        <v>8.3000000000000007</v>
      </c>
      <c r="D42" s="16">
        <f t="shared" si="2"/>
        <v>2.8538681948424069</v>
      </c>
      <c r="E42" s="16">
        <f t="shared" si="0"/>
        <v>2.4214180747789058</v>
      </c>
      <c r="F42" s="83">
        <v>2.2000000000000002</v>
      </c>
      <c r="G42" s="128">
        <v>20</v>
      </c>
      <c r="I42" s="88">
        <v>2.5320574162679428</v>
      </c>
      <c r="J42" s="131">
        <v>40</v>
      </c>
      <c r="K42" s="88">
        <v>1.9864472410454987</v>
      </c>
      <c r="L42" s="131">
        <v>90</v>
      </c>
      <c r="M42" s="88">
        <v>2.38</v>
      </c>
      <c r="N42" s="88">
        <v>40</v>
      </c>
      <c r="O42" s="131">
        <v>36</v>
      </c>
      <c r="P42" s="131">
        <v>19</v>
      </c>
      <c r="Q42" s="131">
        <v>19.5</v>
      </c>
    </row>
    <row r="43" spans="1:17" x14ac:dyDescent="0.25">
      <c r="A43" s="114">
        <v>42</v>
      </c>
      <c r="B43" s="83">
        <v>10.49</v>
      </c>
      <c r="C43" s="92">
        <v>7.8</v>
      </c>
      <c r="D43" s="16">
        <f t="shared" si="2"/>
        <v>2.676835081029552</v>
      </c>
      <c r="E43" s="16">
        <f t="shared" si="0"/>
        <v>2.4214180747789058</v>
      </c>
      <c r="F43" s="83">
        <v>2.2000000000000002</v>
      </c>
      <c r="G43" s="128">
        <v>20</v>
      </c>
      <c r="I43" s="88">
        <v>2.8538681948424069</v>
      </c>
      <c r="J43" s="131">
        <v>41</v>
      </c>
      <c r="K43" s="88">
        <v>2</v>
      </c>
      <c r="L43" s="131">
        <v>106</v>
      </c>
      <c r="M43" s="88">
        <v>2.38</v>
      </c>
      <c r="N43" s="88">
        <v>41</v>
      </c>
      <c r="O43" s="131">
        <v>37</v>
      </c>
      <c r="P43" s="131">
        <v>19</v>
      </c>
      <c r="Q43" s="131">
        <v>20</v>
      </c>
    </row>
    <row r="44" spans="1:17" x14ac:dyDescent="0.25">
      <c r="A44" s="114">
        <v>43</v>
      </c>
      <c r="B44" s="83">
        <v>10.39</v>
      </c>
      <c r="C44" s="92">
        <v>8.15</v>
      </c>
      <c r="D44" s="16">
        <f t="shared" si="2"/>
        <v>2.823869104908566</v>
      </c>
      <c r="E44" s="16">
        <f t="shared" si="0"/>
        <v>2.4214180747789058</v>
      </c>
      <c r="F44" s="83">
        <v>2.2000000000000002</v>
      </c>
      <c r="G44" s="128">
        <v>20.5</v>
      </c>
      <c r="I44" s="88">
        <v>2.676835081029552</v>
      </c>
      <c r="J44" s="131">
        <v>42</v>
      </c>
      <c r="K44" s="88">
        <v>2.0417910447761192</v>
      </c>
      <c r="L44" s="131">
        <v>104</v>
      </c>
      <c r="M44" s="88">
        <v>2.38</v>
      </c>
      <c r="N44" s="88">
        <v>42</v>
      </c>
      <c r="O44" s="131">
        <v>89</v>
      </c>
      <c r="P44" s="132">
        <v>19</v>
      </c>
      <c r="Q44" s="131">
        <v>20</v>
      </c>
    </row>
    <row r="45" spans="1:17" x14ac:dyDescent="0.25">
      <c r="A45" s="114">
        <v>44</v>
      </c>
      <c r="B45" s="83">
        <v>10.85</v>
      </c>
      <c r="C45" s="92">
        <v>8.4499999999999993</v>
      </c>
      <c r="D45" s="16">
        <f t="shared" si="2"/>
        <v>2.8036866359447004</v>
      </c>
      <c r="E45" s="16">
        <f t="shared" si="0"/>
        <v>2.4214180747789058</v>
      </c>
      <c r="F45" s="83">
        <v>2.2000000000000002</v>
      </c>
      <c r="G45" s="128">
        <v>20.5</v>
      </c>
      <c r="I45" s="88">
        <v>2.823869104908566</v>
      </c>
      <c r="J45" s="131">
        <v>43</v>
      </c>
      <c r="K45" s="88">
        <v>2.0612043435340572</v>
      </c>
      <c r="L45" s="131">
        <v>107</v>
      </c>
      <c r="M45" s="88">
        <v>2.38</v>
      </c>
      <c r="N45" s="88">
        <v>43</v>
      </c>
      <c r="O45" s="131">
        <v>90</v>
      </c>
      <c r="P45" s="132">
        <v>19</v>
      </c>
      <c r="Q45" s="131">
        <v>20.5</v>
      </c>
    </row>
    <row r="46" spans="1:17" x14ac:dyDescent="0.25">
      <c r="A46" s="114">
        <v>45</v>
      </c>
      <c r="B46" s="83">
        <v>10.48</v>
      </c>
      <c r="C46" s="92">
        <v>8.15</v>
      </c>
      <c r="D46" s="16">
        <f t="shared" si="2"/>
        <v>2.7996183206106871</v>
      </c>
      <c r="E46" s="16">
        <f t="shared" si="0"/>
        <v>2.4214180747789058</v>
      </c>
      <c r="F46" s="83">
        <v>2.1</v>
      </c>
      <c r="G46" s="128">
        <v>20.5</v>
      </c>
      <c r="I46" s="88">
        <v>2.8036866359447004</v>
      </c>
      <c r="J46" s="131">
        <v>44</v>
      </c>
      <c r="K46" s="88">
        <v>2.0612043435340572</v>
      </c>
      <c r="L46" s="131">
        <v>108</v>
      </c>
      <c r="M46" s="88">
        <v>2.38</v>
      </c>
      <c r="N46" s="88">
        <v>44</v>
      </c>
      <c r="O46" s="131">
        <v>91</v>
      </c>
      <c r="P46" s="132">
        <v>19</v>
      </c>
      <c r="Q46" s="131">
        <v>20.5</v>
      </c>
    </row>
    <row r="47" spans="1:17" x14ac:dyDescent="0.25">
      <c r="A47" s="114">
        <v>46</v>
      </c>
      <c r="B47" s="83">
        <v>10.25</v>
      </c>
      <c r="C47" s="92">
        <v>8.8000000000000007</v>
      </c>
      <c r="D47" s="16">
        <f t="shared" si="2"/>
        <v>3.0907317073170737</v>
      </c>
      <c r="E47" s="16">
        <f t="shared" si="0"/>
        <v>2.4214180747789058</v>
      </c>
      <c r="F47" s="83">
        <v>2.1</v>
      </c>
      <c r="G47" s="128">
        <v>21</v>
      </c>
      <c r="I47" s="88">
        <v>2.7996183206106871</v>
      </c>
      <c r="J47" s="131">
        <v>45</v>
      </c>
      <c r="K47" s="88">
        <v>2.1125954198473287</v>
      </c>
      <c r="L47" s="131">
        <v>88</v>
      </c>
      <c r="M47" s="88">
        <v>2.38</v>
      </c>
      <c r="N47" s="88">
        <v>45</v>
      </c>
      <c r="O47" s="131">
        <v>92</v>
      </c>
      <c r="P47" s="132">
        <v>19</v>
      </c>
      <c r="Q47" s="131">
        <v>20.5</v>
      </c>
    </row>
    <row r="48" spans="1:17" x14ac:dyDescent="0.25">
      <c r="A48" s="114">
        <v>47</v>
      </c>
      <c r="B48" s="83">
        <v>10.24</v>
      </c>
      <c r="C48" s="92">
        <v>8.3000000000000007</v>
      </c>
      <c r="D48" s="16">
        <f t="shared" si="2"/>
        <v>2.91796875</v>
      </c>
      <c r="E48" s="16">
        <f t="shared" si="0"/>
        <v>2.4214180747789058</v>
      </c>
      <c r="F48" s="83">
        <v>2.1</v>
      </c>
      <c r="G48" s="128">
        <v>21</v>
      </c>
      <c r="I48" s="88">
        <v>3.0907317073170737</v>
      </c>
      <c r="J48" s="131">
        <v>46</v>
      </c>
      <c r="K48" s="88">
        <v>2.1186602870813402</v>
      </c>
      <c r="L48" s="131">
        <v>86</v>
      </c>
      <c r="M48" s="88">
        <v>2.38</v>
      </c>
      <c r="N48" s="88">
        <v>46</v>
      </c>
      <c r="O48" s="131">
        <v>93</v>
      </c>
      <c r="P48" s="132">
        <v>19</v>
      </c>
      <c r="Q48" s="131">
        <v>21</v>
      </c>
    </row>
    <row r="49" spans="1:17" x14ac:dyDescent="0.25">
      <c r="A49" s="114">
        <v>48</v>
      </c>
      <c r="B49" s="83">
        <v>10.47</v>
      </c>
      <c r="C49" s="92">
        <v>8.5</v>
      </c>
      <c r="D49" s="16">
        <f t="shared" si="2"/>
        <v>2.9226361031518624</v>
      </c>
      <c r="E49" s="16">
        <f t="shared" si="0"/>
        <v>2.4214180747789058</v>
      </c>
      <c r="F49" s="83">
        <v>2.1</v>
      </c>
      <c r="G49" s="128">
        <v>21</v>
      </c>
      <c r="I49" s="88">
        <v>2.91796875</v>
      </c>
      <c r="J49" s="131">
        <v>47</v>
      </c>
      <c r="K49" s="88">
        <v>2.1217391304347823</v>
      </c>
      <c r="L49" s="131">
        <v>96</v>
      </c>
      <c r="M49" s="88">
        <v>2.38</v>
      </c>
      <c r="N49" s="88">
        <v>47</v>
      </c>
      <c r="O49" s="131">
        <v>94</v>
      </c>
      <c r="P49" s="132">
        <v>19</v>
      </c>
      <c r="Q49" s="131">
        <v>21</v>
      </c>
    </row>
    <row r="50" spans="1:17" x14ac:dyDescent="0.25">
      <c r="A50" s="114">
        <v>49</v>
      </c>
      <c r="B50" s="83">
        <v>10.52</v>
      </c>
      <c r="C50" s="92">
        <v>9.0500000000000007</v>
      </c>
      <c r="D50" s="16">
        <f t="shared" si="2"/>
        <v>3.0969581749049433</v>
      </c>
      <c r="E50" s="16">
        <f t="shared" si="0"/>
        <v>2.4214180747789058</v>
      </c>
      <c r="F50" s="83">
        <v>2</v>
      </c>
      <c r="G50" s="128">
        <v>21.5</v>
      </c>
      <c r="I50" s="88">
        <v>2.9226361031518624</v>
      </c>
      <c r="J50" s="131">
        <v>48</v>
      </c>
      <c r="K50" s="88">
        <v>2.1432720232333011</v>
      </c>
      <c r="L50" s="131">
        <v>89</v>
      </c>
      <c r="M50" s="88">
        <v>2.38</v>
      </c>
      <c r="N50" s="88">
        <v>48</v>
      </c>
      <c r="O50" s="131">
        <v>95</v>
      </c>
      <c r="P50" s="132">
        <v>19</v>
      </c>
      <c r="Q50" s="131">
        <v>21</v>
      </c>
    </row>
    <row r="51" spans="1:17" x14ac:dyDescent="0.25">
      <c r="A51" s="114">
        <v>50</v>
      </c>
      <c r="B51" s="83">
        <v>10.4</v>
      </c>
      <c r="C51" s="92">
        <v>8.8000000000000007</v>
      </c>
      <c r="D51" s="16">
        <f t="shared" si="2"/>
        <v>3.046153846153846</v>
      </c>
      <c r="E51" s="16">
        <f t="shared" si="0"/>
        <v>2.4214180747789058</v>
      </c>
      <c r="F51" s="83">
        <v>2</v>
      </c>
      <c r="G51" s="128">
        <v>21.5</v>
      </c>
      <c r="I51" s="88">
        <v>3.0969581749049433</v>
      </c>
      <c r="J51" s="131">
        <v>49</v>
      </c>
      <c r="K51" s="88">
        <v>2.1502890173410405</v>
      </c>
      <c r="L51" s="131">
        <v>122</v>
      </c>
      <c r="M51" s="88">
        <v>2.38</v>
      </c>
      <c r="N51" s="88">
        <v>49</v>
      </c>
      <c r="O51" s="131">
        <v>96</v>
      </c>
      <c r="P51" s="132">
        <v>19</v>
      </c>
      <c r="Q51" s="131">
        <v>21.5</v>
      </c>
    </row>
    <row r="52" spans="1:17" x14ac:dyDescent="0.25">
      <c r="A52" s="114">
        <v>51</v>
      </c>
      <c r="B52" s="83">
        <v>10.55</v>
      </c>
      <c r="C52" s="92">
        <v>9.9</v>
      </c>
      <c r="D52" s="16">
        <f t="shared" si="2"/>
        <v>3.3781990521327012</v>
      </c>
      <c r="E52" s="16">
        <f t="shared" si="0"/>
        <v>2.4214180747789058</v>
      </c>
      <c r="F52" s="83">
        <v>2</v>
      </c>
      <c r="G52" s="128">
        <v>21.5</v>
      </c>
      <c r="I52" s="88">
        <v>3.046153846153846</v>
      </c>
      <c r="J52" s="131">
        <v>50</v>
      </c>
      <c r="K52" s="88">
        <v>2.1518026565464896</v>
      </c>
      <c r="L52" s="131">
        <v>123</v>
      </c>
      <c r="M52" s="88">
        <v>2.38</v>
      </c>
      <c r="N52" s="88">
        <v>50</v>
      </c>
      <c r="O52" s="131">
        <v>99</v>
      </c>
      <c r="P52" s="132">
        <v>19</v>
      </c>
      <c r="Q52" s="131">
        <v>21.5</v>
      </c>
    </row>
    <row r="53" spans="1:17" x14ac:dyDescent="0.25">
      <c r="A53" s="114">
        <v>52</v>
      </c>
      <c r="B53" s="83">
        <v>10.38</v>
      </c>
      <c r="C53" s="92">
        <v>9.1999999999999993</v>
      </c>
      <c r="D53" s="16">
        <f t="shared" si="2"/>
        <v>3.1907514450867049</v>
      </c>
      <c r="E53" s="16">
        <f t="shared" si="0"/>
        <v>2.4214180747789058</v>
      </c>
      <c r="F53" s="83">
        <v>2</v>
      </c>
      <c r="G53" s="128">
        <v>22</v>
      </c>
      <c r="I53" s="88">
        <v>3.3781990521327012</v>
      </c>
      <c r="J53" s="131">
        <v>51</v>
      </c>
      <c r="K53" s="88">
        <v>2.1606969990319458</v>
      </c>
      <c r="L53" s="131">
        <v>109</v>
      </c>
      <c r="M53" s="88">
        <v>2.38</v>
      </c>
      <c r="N53" s="88">
        <v>51</v>
      </c>
      <c r="O53" s="131">
        <v>100</v>
      </c>
      <c r="P53" s="132">
        <v>19</v>
      </c>
      <c r="Q53" s="131">
        <v>21.5</v>
      </c>
    </row>
    <row r="54" spans="1:17" x14ac:dyDescent="0.25">
      <c r="A54" s="114">
        <v>53</v>
      </c>
      <c r="B54" s="83">
        <v>10.39</v>
      </c>
      <c r="C54" s="92">
        <v>10</v>
      </c>
      <c r="D54" s="16">
        <f t="shared" si="2"/>
        <v>3.4648700673724733</v>
      </c>
      <c r="E54" s="16">
        <f t="shared" si="0"/>
        <v>2.4214180747789058</v>
      </c>
      <c r="F54" s="83">
        <v>2</v>
      </c>
      <c r="G54" s="128">
        <v>22.5</v>
      </c>
      <c r="I54" s="88">
        <v>3.1907514450867049</v>
      </c>
      <c r="J54" s="131">
        <v>52</v>
      </c>
      <c r="K54" s="88">
        <v>2.1634615384615383</v>
      </c>
      <c r="L54" s="131">
        <v>27</v>
      </c>
      <c r="M54" s="88">
        <v>2.38</v>
      </c>
      <c r="N54" s="88">
        <v>52</v>
      </c>
      <c r="O54" s="131">
        <v>38</v>
      </c>
      <c r="P54" s="131">
        <v>19.5</v>
      </c>
      <c r="Q54" s="131">
        <v>22</v>
      </c>
    </row>
    <row r="55" spans="1:17" x14ac:dyDescent="0.25">
      <c r="A55" s="114">
        <v>54</v>
      </c>
      <c r="B55" s="83">
        <v>10.28</v>
      </c>
      <c r="C55" s="92">
        <v>9.8000000000000007</v>
      </c>
      <c r="D55" s="16">
        <f t="shared" si="2"/>
        <v>3.4319066147859929</v>
      </c>
      <c r="E55" s="16">
        <f t="shared" si="0"/>
        <v>2.4214180747789058</v>
      </c>
      <c r="F55" s="83">
        <v>1.9</v>
      </c>
      <c r="G55" s="128">
        <v>22.5</v>
      </c>
      <c r="I55" s="88">
        <v>3.4648700673724733</v>
      </c>
      <c r="J55" s="131">
        <v>53</v>
      </c>
      <c r="K55" s="88">
        <v>2.165680473372781</v>
      </c>
      <c r="L55" s="131">
        <v>127</v>
      </c>
      <c r="M55" s="88">
        <v>2.38</v>
      </c>
      <c r="N55" s="88">
        <v>53</v>
      </c>
      <c r="O55" s="131">
        <v>39</v>
      </c>
      <c r="P55" s="131">
        <v>19.5</v>
      </c>
      <c r="Q55" s="131">
        <v>22.5</v>
      </c>
    </row>
    <row r="56" spans="1:17" x14ac:dyDescent="0.25">
      <c r="A56" s="114">
        <v>55</v>
      </c>
      <c r="B56" s="83">
        <v>10.53</v>
      </c>
      <c r="C56" s="92">
        <v>9.85</v>
      </c>
      <c r="D56" s="16">
        <f t="shared" si="2"/>
        <v>3.3675213675213675</v>
      </c>
      <c r="E56" s="16">
        <f t="shared" si="0"/>
        <v>2.4214180747789058</v>
      </c>
      <c r="F56" s="83">
        <v>1.9</v>
      </c>
      <c r="G56" s="128">
        <v>22.5</v>
      </c>
      <c r="I56" s="88">
        <v>3.4319066147859929</v>
      </c>
      <c r="J56" s="131">
        <v>54</v>
      </c>
      <c r="K56" s="88">
        <v>2.1699604743083003</v>
      </c>
      <c r="L56" s="131">
        <v>105</v>
      </c>
      <c r="M56" s="88">
        <v>2.38</v>
      </c>
      <c r="N56" s="88">
        <v>54</v>
      </c>
      <c r="O56" s="131">
        <v>40</v>
      </c>
      <c r="P56" s="131">
        <v>19.5</v>
      </c>
      <c r="Q56" s="131">
        <v>22.5</v>
      </c>
    </row>
    <row r="57" spans="1:17" x14ac:dyDescent="0.25">
      <c r="A57" s="114">
        <v>56</v>
      </c>
      <c r="B57" s="83">
        <v>10.41</v>
      </c>
      <c r="C57" s="92">
        <v>8.4499999999999993</v>
      </c>
      <c r="D57" s="16">
        <f t="shared" si="2"/>
        <v>2.9221902017291064</v>
      </c>
      <c r="E57" s="16">
        <f t="shared" si="0"/>
        <v>2.4214180747789058</v>
      </c>
      <c r="F57" s="83">
        <v>1.9</v>
      </c>
      <c r="G57" s="128">
        <v>22.5</v>
      </c>
      <c r="I57" s="88">
        <v>3.3675213675213675</v>
      </c>
      <c r="J57" s="131">
        <v>55</v>
      </c>
      <c r="K57" s="88">
        <v>2.1712062256809341</v>
      </c>
      <c r="L57" s="131">
        <v>97</v>
      </c>
      <c r="M57" s="88">
        <v>2.38</v>
      </c>
      <c r="N57" s="88">
        <v>55</v>
      </c>
      <c r="O57" s="131">
        <v>97</v>
      </c>
      <c r="P57" s="132">
        <v>19.5</v>
      </c>
      <c r="Q57" s="131">
        <v>22.5</v>
      </c>
    </row>
    <row r="58" spans="1:17" x14ac:dyDescent="0.25">
      <c r="A58" s="114">
        <v>57</v>
      </c>
      <c r="B58" s="83">
        <v>10.39</v>
      </c>
      <c r="C58" s="92">
        <v>8.6</v>
      </c>
      <c r="D58" s="16">
        <f t="shared" si="2"/>
        <v>2.979788257940327</v>
      </c>
      <c r="E58" s="16">
        <f t="shared" si="0"/>
        <v>2.4214180747789058</v>
      </c>
      <c r="F58" s="83">
        <v>1.8</v>
      </c>
      <c r="G58" s="128">
        <v>22.5</v>
      </c>
      <c r="I58" s="88">
        <v>2.9221902017291064</v>
      </c>
      <c r="J58" s="131">
        <v>56</v>
      </c>
      <c r="K58" s="88">
        <v>2.1727183513248285</v>
      </c>
      <c r="L58" s="131">
        <v>101</v>
      </c>
      <c r="M58" s="88">
        <v>2.38</v>
      </c>
      <c r="N58" s="88">
        <v>56</v>
      </c>
      <c r="O58" s="131">
        <v>98</v>
      </c>
      <c r="P58" s="132">
        <v>19.5</v>
      </c>
      <c r="Q58" s="131">
        <v>22.5</v>
      </c>
    </row>
    <row r="59" spans="1:17" x14ac:dyDescent="0.25">
      <c r="A59" s="114">
        <v>58</v>
      </c>
      <c r="B59" s="83">
        <v>10.35</v>
      </c>
      <c r="C59" s="92">
        <v>9</v>
      </c>
      <c r="D59" s="16">
        <f t="shared" si="2"/>
        <v>3.1304347826086958</v>
      </c>
      <c r="E59" s="16">
        <f t="shared" si="0"/>
        <v>2.4214180747789058</v>
      </c>
      <c r="F59" s="83">
        <v>1.8</v>
      </c>
      <c r="G59" s="128">
        <v>23</v>
      </c>
      <c r="I59" s="88">
        <v>2.979788257940327</v>
      </c>
      <c r="J59" s="131">
        <v>57</v>
      </c>
      <c r="K59" s="88">
        <v>2.1786743515850144</v>
      </c>
      <c r="L59" s="131">
        <v>121</v>
      </c>
      <c r="M59" s="88">
        <v>2.38</v>
      </c>
      <c r="N59" s="88">
        <v>57</v>
      </c>
      <c r="O59" s="131">
        <v>101</v>
      </c>
      <c r="P59" s="132">
        <v>19.5</v>
      </c>
      <c r="Q59" s="131">
        <v>22.5</v>
      </c>
    </row>
    <row r="60" spans="1:17" x14ac:dyDescent="0.25">
      <c r="A60" s="114">
        <v>59</v>
      </c>
      <c r="B60" s="83">
        <v>10.33</v>
      </c>
      <c r="C60" s="92">
        <v>8.4</v>
      </c>
      <c r="D60" s="16">
        <f t="shared" si="2"/>
        <v>2.9273959341723135</v>
      </c>
      <c r="E60" s="16">
        <f t="shared" si="0"/>
        <v>2.4214180747789058</v>
      </c>
      <c r="F60" s="83">
        <v>1.8</v>
      </c>
      <c r="G60" s="128">
        <v>23</v>
      </c>
      <c r="I60" s="88">
        <v>3.1304347826086958</v>
      </c>
      <c r="J60" s="131">
        <v>58</v>
      </c>
      <c r="K60" s="88">
        <v>2.1926345609065154</v>
      </c>
      <c r="L60" s="131">
        <v>26</v>
      </c>
      <c r="M60" s="88">
        <v>2.38</v>
      </c>
      <c r="N60" s="88">
        <v>58</v>
      </c>
      <c r="O60" s="131">
        <v>102</v>
      </c>
      <c r="P60" s="132">
        <v>19.5</v>
      </c>
      <c r="Q60" s="131">
        <v>23</v>
      </c>
    </row>
    <row r="61" spans="1:17" x14ac:dyDescent="0.25">
      <c r="A61" s="114">
        <v>60</v>
      </c>
      <c r="B61" s="83">
        <v>10.33</v>
      </c>
      <c r="C61" s="92">
        <v>9.6</v>
      </c>
      <c r="D61" s="16">
        <f t="shared" si="2"/>
        <v>3.3455953533397871</v>
      </c>
      <c r="E61" s="16">
        <f t="shared" si="0"/>
        <v>2.4214180747789058</v>
      </c>
      <c r="F61" s="83">
        <v>1.8</v>
      </c>
      <c r="G61" s="128">
        <v>23</v>
      </c>
      <c r="I61" s="88">
        <v>2.9273959341723135</v>
      </c>
      <c r="J61" s="131">
        <v>59</v>
      </c>
      <c r="K61" s="88">
        <v>2.1984732824427482</v>
      </c>
      <c r="L61" s="131">
        <v>91</v>
      </c>
      <c r="M61" s="88">
        <v>2.38</v>
      </c>
      <c r="N61" s="88">
        <v>59</v>
      </c>
      <c r="O61" s="131">
        <v>103</v>
      </c>
      <c r="P61" s="132">
        <v>19.5</v>
      </c>
      <c r="Q61" s="131">
        <v>23</v>
      </c>
    </row>
    <row r="62" spans="1:17" x14ac:dyDescent="0.25">
      <c r="A62" s="114">
        <v>61</v>
      </c>
      <c r="B62" s="83">
        <v>10.43</v>
      </c>
      <c r="C62" s="92">
        <v>9.35</v>
      </c>
      <c r="D62" s="16">
        <f t="shared" si="2"/>
        <v>3.2272291466922338</v>
      </c>
      <c r="E62" s="16">
        <f t="shared" si="0"/>
        <v>2.4214180747789058</v>
      </c>
      <c r="F62" s="83">
        <v>1.8</v>
      </c>
      <c r="G62" s="102">
        <v>23.5</v>
      </c>
      <c r="I62" s="88">
        <v>3.3455953533397871</v>
      </c>
      <c r="J62" s="131">
        <v>60</v>
      </c>
      <c r="K62" s="88">
        <v>2.1998060135790491</v>
      </c>
      <c r="L62" s="131">
        <v>12</v>
      </c>
      <c r="M62" s="88">
        <v>2.38</v>
      </c>
      <c r="N62" s="88">
        <v>60</v>
      </c>
      <c r="O62" s="131">
        <v>104</v>
      </c>
      <c r="P62" s="132">
        <v>19.5</v>
      </c>
      <c r="Q62" s="131">
        <v>23</v>
      </c>
    </row>
    <row r="63" spans="1:17" x14ac:dyDescent="0.25">
      <c r="A63" s="114">
        <v>62</v>
      </c>
      <c r="B63" s="83">
        <v>10.52</v>
      </c>
      <c r="C63" s="92">
        <v>9.35</v>
      </c>
      <c r="D63" s="16">
        <f t="shared" si="2"/>
        <v>3.1996197718631181</v>
      </c>
      <c r="E63" s="16">
        <f t="shared" si="0"/>
        <v>2.4214180747789058</v>
      </c>
      <c r="F63" s="83">
        <v>1.7</v>
      </c>
      <c r="G63" s="102">
        <v>23.5</v>
      </c>
      <c r="I63" s="88">
        <v>3.2272291466922338</v>
      </c>
      <c r="J63" s="131">
        <v>61</v>
      </c>
      <c r="K63" s="88">
        <v>2.2026768642447419</v>
      </c>
      <c r="L63" s="131">
        <v>28</v>
      </c>
      <c r="M63" s="88">
        <v>2.38</v>
      </c>
      <c r="N63" s="88">
        <v>61</v>
      </c>
      <c r="O63" s="131">
        <v>105</v>
      </c>
      <c r="P63" s="132">
        <v>19.5</v>
      </c>
      <c r="Q63" s="132">
        <v>23.5</v>
      </c>
    </row>
    <row r="64" spans="1:17" x14ac:dyDescent="0.25">
      <c r="A64" s="114">
        <v>63</v>
      </c>
      <c r="B64" s="83">
        <v>10.35</v>
      </c>
      <c r="C64" s="92">
        <v>9.9</v>
      </c>
      <c r="D64" s="16">
        <f t="shared" si="2"/>
        <v>3.4434782608695653</v>
      </c>
      <c r="E64" s="16">
        <f t="shared" si="0"/>
        <v>2.4214180747789058</v>
      </c>
      <c r="F64" s="83">
        <v>1.7</v>
      </c>
      <c r="G64" s="102">
        <v>23.5</v>
      </c>
      <c r="I64" s="88">
        <v>3.1996197718631181</v>
      </c>
      <c r="J64" s="131">
        <v>62</v>
      </c>
      <c r="K64" s="88">
        <v>2.2180094786729856</v>
      </c>
      <c r="L64" s="131">
        <v>31</v>
      </c>
      <c r="M64" s="88">
        <v>2.38</v>
      </c>
      <c r="N64" s="88">
        <v>62</v>
      </c>
      <c r="O64" s="131">
        <v>106</v>
      </c>
      <c r="P64" s="132">
        <v>19.5</v>
      </c>
      <c r="Q64" s="132">
        <v>23.5</v>
      </c>
    </row>
    <row r="65" spans="1:17" x14ac:dyDescent="0.25">
      <c r="A65" s="114">
        <v>64</v>
      </c>
      <c r="B65" s="83">
        <v>10.220000000000001</v>
      </c>
      <c r="C65" s="92">
        <v>9.5500000000000007</v>
      </c>
      <c r="D65" s="16">
        <f t="shared" ref="D65:D92" si="3">C65/B65*3.6</f>
        <v>3.3639921722113502</v>
      </c>
      <c r="E65" s="16">
        <f t="shared" si="0"/>
        <v>2.4214180747789058</v>
      </c>
      <c r="F65" s="83">
        <v>1.7</v>
      </c>
      <c r="G65" s="102">
        <v>24</v>
      </c>
      <c r="I65" s="88">
        <v>3.4434782608695653</v>
      </c>
      <c r="J65" s="131">
        <v>63</v>
      </c>
      <c r="K65" s="88">
        <v>2.2237354085603114</v>
      </c>
      <c r="L65" s="131">
        <v>141</v>
      </c>
      <c r="M65" s="88">
        <v>2.38</v>
      </c>
      <c r="N65" s="88">
        <v>63</v>
      </c>
      <c r="O65" s="131">
        <v>107</v>
      </c>
      <c r="P65" s="132">
        <v>19.5</v>
      </c>
      <c r="Q65" s="132">
        <v>23.5</v>
      </c>
    </row>
    <row r="66" spans="1:17" x14ac:dyDescent="0.25">
      <c r="A66" s="114">
        <v>65</v>
      </c>
      <c r="B66" s="83">
        <v>10.53</v>
      </c>
      <c r="C66" s="92">
        <v>10</v>
      </c>
      <c r="D66" s="16">
        <f t="shared" si="3"/>
        <v>3.4188034188034191</v>
      </c>
      <c r="E66" s="16">
        <f t="shared" si="0"/>
        <v>2.4214180747789058</v>
      </c>
      <c r="F66" s="83">
        <v>1.6</v>
      </c>
      <c r="G66" s="102">
        <v>24</v>
      </c>
      <c r="I66" s="88">
        <v>3.3639921722113502</v>
      </c>
      <c r="J66" s="131">
        <v>64</v>
      </c>
      <c r="K66" s="88">
        <v>2.2239382239382244</v>
      </c>
      <c r="L66" s="131">
        <v>113</v>
      </c>
      <c r="M66" s="88">
        <v>2.38</v>
      </c>
      <c r="N66" s="88">
        <v>64</v>
      </c>
      <c r="O66" s="131">
        <v>108</v>
      </c>
      <c r="P66" s="132">
        <v>19.5</v>
      </c>
      <c r="Q66" s="132">
        <v>24</v>
      </c>
    </row>
    <row r="67" spans="1:17" x14ac:dyDescent="0.25">
      <c r="A67" s="114">
        <v>66</v>
      </c>
      <c r="B67" s="83">
        <v>10.41</v>
      </c>
      <c r="C67" s="92">
        <v>9.6</v>
      </c>
      <c r="D67" s="16">
        <f t="shared" si="3"/>
        <v>3.3198847262247839</v>
      </c>
      <c r="E67" s="16">
        <f t="shared" si="0"/>
        <v>2.4214180747789058</v>
      </c>
      <c r="F67" s="83">
        <v>1.6</v>
      </c>
      <c r="G67" s="102">
        <v>24</v>
      </c>
      <c r="I67" s="88">
        <v>3.4188034188034191</v>
      </c>
      <c r="J67" s="131">
        <v>65</v>
      </c>
      <c r="K67" s="88">
        <v>2.238894373149062</v>
      </c>
      <c r="L67" s="131">
        <v>87</v>
      </c>
      <c r="M67" s="88">
        <v>2.38</v>
      </c>
      <c r="N67" s="88">
        <v>65</v>
      </c>
      <c r="O67" s="131">
        <v>109</v>
      </c>
      <c r="P67" s="132">
        <v>19.5</v>
      </c>
      <c r="Q67" s="132">
        <v>24</v>
      </c>
    </row>
    <row r="68" spans="1:17" x14ac:dyDescent="0.25">
      <c r="A68" s="114">
        <v>67</v>
      </c>
      <c r="B68" s="83">
        <v>10.4</v>
      </c>
      <c r="C68" s="92">
        <v>9.6</v>
      </c>
      <c r="D68" s="16">
        <f t="shared" si="3"/>
        <v>3.3230769230769228</v>
      </c>
      <c r="E68" s="16">
        <f t="shared" ref="E68:E131" si="4">SUM(AVERAGE($D$2:$D$146))</f>
        <v>2.4214180747789058</v>
      </c>
      <c r="F68" s="83">
        <v>1.6</v>
      </c>
      <c r="G68" s="102">
        <v>24.5</v>
      </c>
      <c r="I68" s="88">
        <v>3.3198847262247839</v>
      </c>
      <c r="J68" s="131">
        <v>66</v>
      </c>
      <c r="K68" s="88">
        <v>2.2390670553935865</v>
      </c>
      <c r="L68" s="131">
        <v>29</v>
      </c>
      <c r="M68" s="88">
        <v>2.38</v>
      </c>
      <c r="N68" s="88">
        <v>66</v>
      </c>
      <c r="O68" s="131">
        <v>110</v>
      </c>
      <c r="P68" s="132">
        <v>19.5</v>
      </c>
      <c r="Q68" s="132">
        <v>24</v>
      </c>
    </row>
    <row r="69" spans="1:17" x14ac:dyDescent="0.25">
      <c r="A69" s="114">
        <v>68</v>
      </c>
      <c r="B69" s="83">
        <v>10.26</v>
      </c>
      <c r="C69" s="92">
        <v>11.6</v>
      </c>
      <c r="D69" s="16">
        <f t="shared" si="3"/>
        <v>4.0701754385964914</v>
      </c>
      <c r="E69" s="16">
        <f t="shared" si="4"/>
        <v>2.4214180747789058</v>
      </c>
      <c r="F69" s="83">
        <v>1.6</v>
      </c>
      <c r="G69" s="102">
        <v>24.5</v>
      </c>
      <c r="I69" s="88">
        <v>3.3230769230769228</v>
      </c>
      <c r="J69" s="131">
        <v>67</v>
      </c>
      <c r="K69" s="88">
        <v>2.2564102564102564</v>
      </c>
      <c r="L69" s="131">
        <v>110</v>
      </c>
      <c r="M69" s="88">
        <v>2.38</v>
      </c>
      <c r="N69" s="88">
        <v>67</v>
      </c>
      <c r="O69" s="131">
        <v>14</v>
      </c>
      <c r="P69" s="131">
        <v>20</v>
      </c>
      <c r="Q69" s="132">
        <v>24.5</v>
      </c>
    </row>
    <row r="70" spans="1:17" x14ac:dyDescent="0.25">
      <c r="A70" s="114">
        <v>69</v>
      </c>
      <c r="B70" s="83">
        <v>10.45</v>
      </c>
      <c r="C70" s="92">
        <v>9.6</v>
      </c>
      <c r="D70" s="16">
        <f t="shared" si="3"/>
        <v>3.307177033492823</v>
      </c>
      <c r="E70" s="16">
        <f t="shared" si="4"/>
        <v>2.4214180747789058</v>
      </c>
      <c r="F70" s="83">
        <v>1.6</v>
      </c>
      <c r="G70" s="102">
        <v>25</v>
      </c>
      <c r="I70" s="88">
        <v>4.0701754385964914</v>
      </c>
      <c r="J70" s="131">
        <v>68</v>
      </c>
      <c r="K70" s="88">
        <v>2.2824207492795385</v>
      </c>
      <c r="L70" s="131">
        <v>81</v>
      </c>
      <c r="M70" s="88">
        <v>2.38</v>
      </c>
      <c r="N70" s="88">
        <v>68</v>
      </c>
      <c r="O70" s="131">
        <v>41</v>
      </c>
      <c r="P70" s="131">
        <v>20</v>
      </c>
      <c r="Q70" s="132">
        <v>24.5</v>
      </c>
    </row>
    <row r="71" spans="1:17" x14ac:dyDescent="0.25">
      <c r="A71" s="114">
        <v>70</v>
      </c>
      <c r="B71" s="83">
        <v>10.59</v>
      </c>
      <c r="C71" s="92">
        <v>10.85</v>
      </c>
      <c r="D71" s="16">
        <f t="shared" si="3"/>
        <v>3.6883852691218126</v>
      </c>
      <c r="E71" s="16">
        <f t="shared" si="4"/>
        <v>2.4214180747789058</v>
      </c>
      <c r="F71" s="83">
        <v>1.6</v>
      </c>
      <c r="G71" s="102">
        <v>25</v>
      </c>
      <c r="I71" s="88">
        <v>3.307177033492823</v>
      </c>
      <c r="J71" s="131">
        <v>69</v>
      </c>
      <c r="K71" s="88">
        <v>2.2918707149853081</v>
      </c>
      <c r="L71" s="131">
        <v>112</v>
      </c>
      <c r="M71" s="88">
        <v>2.38</v>
      </c>
      <c r="N71" s="88">
        <v>69</v>
      </c>
      <c r="O71" s="131">
        <v>42</v>
      </c>
      <c r="P71" s="131">
        <v>20</v>
      </c>
      <c r="Q71" s="132">
        <v>25</v>
      </c>
    </row>
    <row r="72" spans="1:17" x14ac:dyDescent="0.25">
      <c r="A72" s="114">
        <v>71</v>
      </c>
      <c r="B72" s="83">
        <v>10.24</v>
      </c>
      <c r="C72" s="92">
        <v>11.8</v>
      </c>
      <c r="D72" s="16">
        <f t="shared" si="3"/>
        <v>4.1484375</v>
      </c>
      <c r="E72" s="16">
        <f t="shared" si="4"/>
        <v>2.4214180747789058</v>
      </c>
      <c r="F72" s="83">
        <v>1.6</v>
      </c>
      <c r="G72" s="102">
        <v>25.5</v>
      </c>
      <c r="I72" s="88">
        <v>3.6883852691218126</v>
      </c>
      <c r="J72" s="131">
        <v>70</v>
      </c>
      <c r="K72" s="88">
        <v>2.2941176470588238</v>
      </c>
      <c r="L72" s="131">
        <v>117</v>
      </c>
      <c r="M72" s="88">
        <v>2.38</v>
      </c>
      <c r="N72" s="88">
        <v>70</v>
      </c>
      <c r="O72" s="131">
        <v>111</v>
      </c>
      <c r="P72" s="132">
        <v>20</v>
      </c>
      <c r="Q72" s="132">
        <v>25</v>
      </c>
    </row>
    <row r="73" spans="1:17" x14ac:dyDescent="0.25">
      <c r="A73" s="114">
        <v>72</v>
      </c>
      <c r="B73" s="16">
        <v>10.27</v>
      </c>
      <c r="C73" s="92">
        <v>10</v>
      </c>
      <c r="D73" s="16">
        <f t="shared" si="3"/>
        <v>3.5053554040895811</v>
      </c>
      <c r="E73" s="16">
        <f t="shared" si="4"/>
        <v>2.4214180747789058</v>
      </c>
      <c r="F73" s="83">
        <v>1.4</v>
      </c>
      <c r="G73" s="102">
        <v>25.5</v>
      </c>
      <c r="I73" s="88">
        <v>4.1484375</v>
      </c>
      <c r="J73" s="131">
        <v>71</v>
      </c>
      <c r="K73" s="88">
        <v>2.2975047984644918</v>
      </c>
      <c r="L73" s="131">
        <v>30</v>
      </c>
      <c r="M73" s="88">
        <v>2.38</v>
      </c>
      <c r="N73" s="88">
        <v>71</v>
      </c>
      <c r="O73" s="131">
        <v>112</v>
      </c>
      <c r="P73" s="132">
        <v>20</v>
      </c>
      <c r="Q73" s="132">
        <v>25.5</v>
      </c>
    </row>
    <row r="74" spans="1:17" x14ac:dyDescent="0.25">
      <c r="A74" s="114">
        <v>73</v>
      </c>
      <c r="B74" s="83">
        <v>10.29</v>
      </c>
      <c r="C74" s="92">
        <v>9.6999999999999993</v>
      </c>
      <c r="D74" s="16">
        <f t="shared" si="3"/>
        <v>3.3935860058309042</v>
      </c>
      <c r="E74" s="16">
        <f t="shared" si="4"/>
        <v>2.4214180747789058</v>
      </c>
      <c r="F74" s="83">
        <v>1.5</v>
      </c>
      <c r="G74" s="102">
        <v>25.5</v>
      </c>
      <c r="I74" s="88">
        <v>3.5053554040895811</v>
      </c>
      <c r="J74" s="131">
        <v>72</v>
      </c>
      <c r="K74" s="88">
        <v>2.2982456140350878</v>
      </c>
      <c r="L74" s="131">
        <v>128</v>
      </c>
      <c r="M74" s="88">
        <v>2.38</v>
      </c>
      <c r="N74" s="88">
        <v>72</v>
      </c>
      <c r="O74" s="131">
        <v>113</v>
      </c>
      <c r="P74" s="132">
        <v>20</v>
      </c>
      <c r="Q74" s="132">
        <v>25.5</v>
      </c>
    </row>
    <row r="75" spans="1:17" x14ac:dyDescent="0.25">
      <c r="A75" s="114">
        <v>74</v>
      </c>
      <c r="B75" s="83">
        <v>10.43</v>
      </c>
      <c r="C75" s="92">
        <v>10.1</v>
      </c>
      <c r="D75" s="16">
        <f t="shared" si="3"/>
        <v>3.4860977948226268</v>
      </c>
      <c r="E75" s="16">
        <f t="shared" si="4"/>
        <v>2.4214180747789058</v>
      </c>
      <c r="F75" s="83">
        <v>1.4</v>
      </c>
      <c r="G75" s="102">
        <v>25.5</v>
      </c>
      <c r="I75" s="88">
        <v>3.3935860058309042</v>
      </c>
      <c r="J75" s="131">
        <v>73</v>
      </c>
      <c r="K75" s="88">
        <v>2.2982456140350878</v>
      </c>
      <c r="L75" s="131">
        <v>134</v>
      </c>
      <c r="M75" s="88">
        <v>2.38</v>
      </c>
      <c r="N75" s="88">
        <v>73</v>
      </c>
      <c r="O75" s="131">
        <v>114</v>
      </c>
      <c r="P75" s="132">
        <v>20</v>
      </c>
      <c r="Q75" s="132">
        <v>25.5</v>
      </c>
    </row>
    <row r="76" spans="1:17" x14ac:dyDescent="0.25">
      <c r="A76" s="114">
        <v>75</v>
      </c>
      <c r="B76" s="16">
        <v>10.48</v>
      </c>
      <c r="C76" s="92">
        <v>10.3</v>
      </c>
      <c r="D76" s="16">
        <f t="shared" si="3"/>
        <v>3.5381679389312977</v>
      </c>
      <c r="E76" s="16">
        <f t="shared" si="4"/>
        <v>2.4214180747789058</v>
      </c>
      <c r="F76" s="83">
        <v>1.4</v>
      </c>
      <c r="G76" s="102">
        <v>26</v>
      </c>
      <c r="I76" s="88">
        <v>3.4860977948226268</v>
      </c>
      <c r="J76" s="131">
        <v>74</v>
      </c>
      <c r="K76" s="88">
        <v>2.3085824493731923</v>
      </c>
      <c r="L76" s="131">
        <v>135</v>
      </c>
      <c r="M76" s="88">
        <v>2.38</v>
      </c>
      <c r="N76" s="88">
        <v>74</v>
      </c>
      <c r="O76" s="131">
        <v>115</v>
      </c>
      <c r="P76" s="132">
        <v>20</v>
      </c>
      <c r="Q76" s="132">
        <v>25.5</v>
      </c>
    </row>
    <row r="77" spans="1:17" x14ac:dyDescent="0.25">
      <c r="A77" s="114">
        <v>76</v>
      </c>
      <c r="B77" s="16">
        <v>10.74</v>
      </c>
      <c r="C77" s="92">
        <v>8.6</v>
      </c>
      <c r="D77" s="16">
        <f>C77/B77*3.6</f>
        <v>2.8826815642458099</v>
      </c>
      <c r="E77" s="16">
        <f t="shared" si="4"/>
        <v>2.4214180747789058</v>
      </c>
      <c r="F77" s="83">
        <v>1.4</v>
      </c>
      <c r="G77" s="102">
        <v>26</v>
      </c>
      <c r="I77" s="88">
        <v>3.5381679389312977</v>
      </c>
      <c r="J77" s="131">
        <v>75</v>
      </c>
      <c r="K77" s="88">
        <v>2.3112840466926072</v>
      </c>
      <c r="L77" s="131">
        <v>118</v>
      </c>
      <c r="M77" s="88">
        <v>2.38</v>
      </c>
      <c r="N77" s="88">
        <v>75</v>
      </c>
      <c r="O77" s="131">
        <v>116</v>
      </c>
      <c r="P77" s="132">
        <v>20</v>
      </c>
      <c r="Q77" s="132">
        <v>26</v>
      </c>
    </row>
    <row r="78" spans="1:17" x14ac:dyDescent="0.25">
      <c r="A78" s="114">
        <v>77</v>
      </c>
      <c r="B78" s="83">
        <v>10.47</v>
      </c>
      <c r="C78" s="92">
        <v>9.1999999999999993</v>
      </c>
      <c r="D78" s="16">
        <f t="shared" si="3"/>
        <v>3.1633237822349565</v>
      </c>
      <c r="E78" s="16">
        <f t="shared" si="4"/>
        <v>2.4214180747789058</v>
      </c>
      <c r="F78" s="83">
        <v>1.4</v>
      </c>
      <c r="G78" s="102">
        <v>26</v>
      </c>
      <c r="I78" s="88">
        <v>2.8826815642458099</v>
      </c>
      <c r="J78" s="131">
        <v>76</v>
      </c>
      <c r="K78" s="88">
        <v>2.327130264446621</v>
      </c>
      <c r="L78" s="131">
        <v>139</v>
      </c>
      <c r="M78" s="88">
        <v>2.38</v>
      </c>
      <c r="N78" s="88">
        <v>76</v>
      </c>
      <c r="O78" s="131">
        <v>117</v>
      </c>
      <c r="P78" s="132">
        <v>20</v>
      </c>
      <c r="Q78" s="132">
        <v>26</v>
      </c>
    </row>
    <row r="79" spans="1:17" x14ac:dyDescent="0.25">
      <c r="A79" s="114">
        <v>78</v>
      </c>
      <c r="B79" s="16">
        <v>10.55</v>
      </c>
      <c r="C79" s="92">
        <v>9.1</v>
      </c>
      <c r="D79" s="16">
        <f t="shared" si="3"/>
        <v>3.1052132701421797</v>
      </c>
      <c r="E79" s="16">
        <f t="shared" si="4"/>
        <v>2.4214180747789058</v>
      </c>
      <c r="F79" s="83">
        <v>1.5</v>
      </c>
      <c r="G79" s="102">
        <v>26</v>
      </c>
      <c r="I79" s="88">
        <v>3.1633237822349565</v>
      </c>
      <c r="J79" s="131">
        <v>77</v>
      </c>
      <c r="K79" s="88">
        <v>2.3688760806916425</v>
      </c>
      <c r="L79" s="131">
        <v>32</v>
      </c>
      <c r="M79" s="88">
        <v>2.38</v>
      </c>
      <c r="N79" s="88">
        <v>77</v>
      </c>
      <c r="O79" s="131">
        <v>118</v>
      </c>
      <c r="P79" s="132">
        <v>20</v>
      </c>
      <c r="Q79" s="132">
        <v>26</v>
      </c>
    </row>
    <row r="80" spans="1:17" x14ac:dyDescent="0.25">
      <c r="A80" s="114">
        <v>79</v>
      </c>
      <c r="B80" s="83">
        <v>10.68</v>
      </c>
      <c r="C80" s="92">
        <v>8.6</v>
      </c>
      <c r="D80" s="93">
        <f t="shared" si="3"/>
        <v>2.898876404494382</v>
      </c>
      <c r="E80" s="16">
        <f t="shared" si="4"/>
        <v>2.4214180747789058</v>
      </c>
      <c r="F80" s="83">
        <v>1.4</v>
      </c>
      <c r="G80" s="102">
        <v>26</v>
      </c>
      <c r="I80" s="88">
        <v>3.1052132701421797</v>
      </c>
      <c r="J80" s="131">
        <v>78</v>
      </c>
      <c r="K80" s="88">
        <v>2.3815915627996165</v>
      </c>
      <c r="L80" s="131">
        <v>125</v>
      </c>
      <c r="M80" s="88">
        <v>2.38</v>
      </c>
      <c r="N80" s="88">
        <v>78</v>
      </c>
      <c r="O80" s="131">
        <v>119</v>
      </c>
      <c r="P80" s="132">
        <v>20</v>
      </c>
      <c r="Q80" s="132">
        <v>26</v>
      </c>
    </row>
    <row r="81" spans="1:17" x14ac:dyDescent="0.25">
      <c r="A81" s="114">
        <v>80</v>
      </c>
      <c r="B81" s="83">
        <v>10.6</v>
      </c>
      <c r="C81" s="92">
        <v>7.2</v>
      </c>
      <c r="D81" s="16">
        <f t="shared" si="3"/>
        <v>2.4452830188679249</v>
      </c>
      <c r="E81" s="16">
        <f t="shared" si="4"/>
        <v>2.4214180747789058</v>
      </c>
      <c r="F81" s="83">
        <v>1.4</v>
      </c>
      <c r="G81" s="102">
        <v>26</v>
      </c>
      <c r="I81" s="88">
        <v>2.898876404494382</v>
      </c>
      <c r="J81" s="131">
        <v>79</v>
      </c>
      <c r="K81" s="88">
        <v>2.4116504854368932</v>
      </c>
      <c r="L81" s="131">
        <v>126</v>
      </c>
      <c r="M81" s="88">
        <v>2.38</v>
      </c>
      <c r="N81" s="88">
        <v>79</v>
      </c>
      <c r="O81" s="131">
        <v>120</v>
      </c>
      <c r="P81" s="132">
        <v>20</v>
      </c>
      <c r="Q81" s="132">
        <v>26</v>
      </c>
    </row>
    <row r="82" spans="1:17" x14ac:dyDescent="0.25">
      <c r="A82" s="114">
        <v>81</v>
      </c>
      <c r="B82" s="83">
        <v>10.41</v>
      </c>
      <c r="C82" s="92">
        <v>6.6</v>
      </c>
      <c r="D82" s="16">
        <f t="shared" si="3"/>
        <v>2.2824207492795385</v>
      </c>
      <c r="E82" s="16">
        <f t="shared" si="4"/>
        <v>2.4214180747789058</v>
      </c>
      <c r="F82" s="94">
        <v>1.4</v>
      </c>
      <c r="G82" s="102">
        <v>26</v>
      </c>
      <c r="I82" s="88">
        <v>2.4452830188679249</v>
      </c>
      <c r="J82" s="131">
        <v>80</v>
      </c>
      <c r="K82" s="88">
        <v>2.4139941690962101</v>
      </c>
      <c r="L82" s="131">
        <v>133</v>
      </c>
      <c r="M82" s="88">
        <v>2.38</v>
      </c>
      <c r="N82" s="88">
        <v>80</v>
      </c>
      <c r="O82" s="131">
        <v>121</v>
      </c>
      <c r="P82" s="132">
        <v>20</v>
      </c>
      <c r="Q82" s="132">
        <v>26</v>
      </c>
    </row>
    <row r="83" spans="1:17" x14ac:dyDescent="0.25">
      <c r="A83" s="114">
        <v>82</v>
      </c>
      <c r="B83" s="83">
        <v>10.46</v>
      </c>
      <c r="C83" s="92">
        <v>5.25</v>
      </c>
      <c r="D83" s="16">
        <f t="shared" si="3"/>
        <v>1.8068833652007648</v>
      </c>
      <c r="E83" s="16">
        <f t="shared" si="4"/>
        <v>2.4214180747789058</v>
      </c>
      <c r="F83" s="94">
        <v>1.4</v>
      </c>
      <c r="G83" s="102">
        <v>18.5</v>
      </c>
      <c r="I83" s="88">
        <v>2.2824207492795385</v>
      </c>
      <c r="J83" s="131">
        <v>81</v>
      </c>
      <c r="K83" s="88">
        <v>2.4163424124513622</v>
      </c>
      <c r="L83" s="131">
        <v>119</v>
      </c>
      <c r="M83" s="88">
        <v>2.38</v>
      </c>
      <c r="N83" s="88">
        <v>81</v>
      </c>
      <c r="O83" s="131">
        <v>122</v>
      </c>
      <c r="P83" s="132">
        <v>20</v>
      </c>
      <c r="Q83" s="132">
        <v>26</v>
      </c>
    </row>
    <row r="84" spans="1:17" x14ac:dyDescent="0.25">
      <c r="A84" s="114">
        <v>83</v>
      </c>
      <c r="B84" s="83">
        <v>10.26</v>
      </c>
      <c r="C84" s="92">
        <v>4.9000000000000004</v>
      </c>
      <c r="D84" s="16">
        <f t="shared" si="3"/>
        <v>1.7192982456140353</v>
      </c>
      <c r="E84" s="16">
        <f t="shared" si="4"/>
        <v>2.4214180747789058</v>
      </c>
      <c r="F84" s="94">
        <v>1.2</v>
      </c>
      <c r="G84" s="102">
        <v>18.5</v>
      </c>
      <c r="I84" s="88">
        <v>1.8068833652007648</v>
      </c>
      <c r="J84" s="131">
        <v>82</v>
      </c>
      <c r="K84" s="88">
        <v>2.4186471663619744</v>
      </c>
      <c r="L84" s="131">
        <v>36</v>
      </c>
      <c r="M84" s="88">
        <v>2.38</v>
      </c>
      <c r="N84" s="88">
        <v>82</v>
      </c>
      <c r="O84" s="131">
        <v>15</v>
      </c>
      <c r="P84" s="131">
        <v>20.5</v>
      </c>
      <c r="Q84" s="132">
        <v>18.5</v>
      </c>
    </row>
    <row r="85" spans="1:17" x14ac:dyDescent="0.25">
      <c r="A85" s="114">
        <v>84</v>
      </c>
      <c r="B85" s="16">
        <v>10.01</v>
      </c>
      <c r="C85" s="92">
        <v>5.4</v>
      </c>
      <c r="D85" s="16">
        <f t="shared" si="3"/>
        <v>1.9420579420579422</v>
      </c>
      <c r="E85" s="16">
        <f t="shared" si="4"/>
        <v>2.4214180747789058</v>
      </c>
      <c r="F85" s="94">
        <v>1.2</v>
      </c>
      <c r="G85" s="102">
        <v>18.5</v>
      </c>
      <c r="I85" s="88">
        <v>1.7192982456140353</v>
      </c>
      <c r="J85" s="131">
        <v>83</v>
      </c>
      <c r="K85" s="88">
        <v>2.4347826086956523</v>
      </c>
      <c r="L85" s="131">
        <v>120</v>
      </c>
      <c r="M85" s="88">
        <v>2.38</v>
      </c>
      <c r="N85" s="88">
        <v>83</v>
      </c>
      <c r="O85" s="131">
        <v>43</v>
      </c>
      <c r="P85" s="131">
        <v>20.5</v>
      </c>
      <c r="Q85" s="132">
        <v>18.5</v>
      </c>
    </row>
    <row r="86" spans="1:17" x14ac:dyDescent="0.25">
      <c r="A86" s="114">
        <v>85</v>
      </c>
      <c r="B86" s="83">
        <v>10.53</v>
      </c>
      <c r="C86" s="92">
        <v>5.5</v>
      </c>
      <c r="D86" s="16">
        <f t="shared" si="3"/>
        <v>1.8803418803418805</v>
      </c>
      <c r="E86" s="16">
        <f t="shared" si="4"/>
        <v>2.4214180747789058</v>
      </c>
      <c r="F86" s="94">
        <v>1.2</v>
      </c>
      <c r="G86" s="102">
        <v>18.5</v>
      </c>
      <c r="I86" s="88">
        <v>1.9420579420579422</v>
      </c>
      <c r="J86" s="131">
        <v>84</v>
      </c>
      <c r="K86" s="88">
        <v>2.4452830188679249</v>
      </c>
      <c r="L86" s="131">
        <v>80</v>
      </c>
      <c r="M86" s="88">
        <v>2.38</v>
      </c>
      <c r="N86" s="88">
        <v>84</v>
      </c>
      <c r="O86" s="131">
        <v>44</v>
      </c>
      <c r="P86" s="131">
        <v>20.5</v>
      </c>
      <c r="Q86" s="132">
        <v>18.5</v>
      </c>
    </row>
    <row r="87" spans="1:17" x14ac:dyDescent="0.25">
      <c r="A87" s="114">
        <v>86</v>
      </c>
      <c r="B87" s="83">
        <v>10.45</v>
      </c>
      <c r="C87" s="92">
        <v>6.15</v>
      </c>
      <c r="D87" s="16">
        <f t="shared" si="3"/>
        <v>2.1186602870813402</v>
      </c>
      <c r="E87" s="16">
        <f t="shared" si="4"/>
        <v>2.4214180747789058</v>
      </c>
      <c r="F87" s="94">
        <v>1.2</v>
      </c>
      <c r="G87" s="102">
        <v>18.5</v>
      </c>
      <c r="I87" s="88">
        <v>1.8803418803418805</v>
      </c>
      <c r="J87" s="131">
        <v>85</v>
      </c>
      <c r="K87" s="88">
        <v>2.4688715953307394</v>
      </c>
      <c r="L87" s="131">
        <v>136</v>
      </c>
      <c r="M87" s="88">
        <v>2.38</v>
      </c>
      <c r="N87" s="88">
        <v>85</v>
      </c>
      <c r="O87" s="131">
        <v>45</v>
      </c>
      <c r="P87" s="131">
        <v>20.5</v>
      </c>
      <c r="Q87" s="132">
        <v>18.5</v>
      </c>
    </row>
    <row r="88" spans="1:17" x14ac:dyDescent="0.25">
      <c r="A88" s="114">
        <v>87</v>
      </c>
      <c r="B88" s="83">
        <v>10.130000000000001</v>
      </c>
      <c r="C88" s="92">
        <v>6.3</v>
      </c>
      <c r="D88" s="16">
        <f t="shared" si="3"/>
        <v>2.238894373149062</v>
      </c>
      <c r="E88" s="16">
        <f t="shared" si="4"/>
        <v>2.4214180747789058</v>
      </c>
      <c r="F88" s="94">
        <v>1.3</v>
      </c>
      <c r="G88" s="102">
        <v>18.5</v>
      </c>
      <c r="I88" s="88">
        <v>2.1186602870813402</v>
      </c>
      <c r="J88" s="131">
        <v>86</v>
      </c>
      <c r="K88" s="88">
        <v>2.4797687861271673</v>
      </c>
      <c r="L88" s="131">
        <v>143</v>
      </c>
      <c r="M88" s="88">
        <v>2.38</v>
      </c>
      <c r="N88" s="88">
        <v>86</v>
      </c>
      <c r="O88" s="131">
        <v>123</v>
      </c>
      <c r="P88" s="132">
        <v>20.5</v>
      </c>
      <c r="Q88" s="132">
        <v>18.5</v>
      </c>
    </row>
    <row r="89" spans="1:17" x14ac:dyDescent="0.25">
      <c r="A89" s="114">
        <v>88</v>
      </c>
      <c r="B89" s="83">
        <v>10.48</v>
      </c>
      <c r="C89" s="92">
        <v>6.15</v>
      </c>
      <c r="D89" s="16">
        <f t="shared" si="3"/>
        <v>2.1125954198473287</v>
      </c>
      <c r="E89" s="16">
        <f t="shared" si="4"/>
        <v>2.4214180747789058</v>
      </c>
      <c r="F89" s="94">
        <v>1.3</v>
      </c>
      <c r="G89" s="102">
        <v>18.5</v>
      </c>
      <c r="I89" s="88">
        <v>2.238894373149062</v>
      </c>
      <c r="J89" s="131">
        <v>87</v>
      </c>
      <c r="K89" s="88">
        <v>2.4923076923076923</v>
      </c>
      <c r="L89" s="131">
        <v>131</v>
      </c>
      <c r="M89" s="88">
        <v>2.38</v>
      </c>
      <c r="N89" s="88">
        <v>87</v>
      </c>
      <c r="O89" s="131">
        <v>124</v>
      </c>
      <c r="P89" s="132">
        <v>20.5</v>
      </c>
      <c r="Q89" s="132">
        <v>18.5</v>
      </c>
    </row>
    <row r="90" spans="1:17" x14ac:dyDescent="0.25">
      <c r="A90" s="114">
        <v>89</v>
      </c>
      <c r="B90" s="83">
        <v>10.33</v>
      </c>
      <c r="C90" s="92">
        <v>6.15</v>
      </c>
      <c r="D90" s="16">
        <f t="shared" si="3"/>
        <v>2.1432720232333011</v>
      </c>
      <c r="E90" s="16">
        <f t="shared" si="4"/>
        <v>2.4214180747789058</v>
      </c>
      <c r="F90" s="94">
        <v>1.3</v>
      </c>
      <c r="G90" s="102">
        <v>19</v>
      </c>
      <c r="I90" s="88">
        <v>2.1125954198473287</v>
      </c>
      <c r="J90" s="131">
        <v>88</v>
      </c>
      <c r="K90" s="88">
        <v>2.4976076555023927</v>
      </c>
      <c r="L90" s="131">
        <v>39</v>
      </c>
      <c r="M90" s="88">
        <v>2.38</v>
      </c>
      <c r="N90" s="88">
        <v>88</v>
      </c>
      <c r="O90" s="131">
        <v>125</v>
      </c>
      <c r="P90" s="132">
        <v>20.5</v>
      </c>
      <c r="Q90" s="132">
        <v>18.5</v>
      </c>
    </row>
    <row r="91" spans="1:17" x14ac:dyDescent="0.25">
      <c r="A91" s="114">
        <v>90</v>
      </c>
      <c r="B91" s="16">
        <v>10.33</v>
      </c>
      <c r="C91" s="92">
        <v>5.7</v>
      </c>
      <c r="D91" s="16">
        <f t="shared" si="3"/>
        <v>1.9864472410454987</v>
      </c>
      <c r="E91" s="16">
        <f t="shared" si="4"/>
        <v>2.4214180747789058</v>
      </c>
      <c r="F91" s="94">
        <v>1.2</v>
      </c>
      <c r="G91" s="102">
        <v>19</v>
      </c>
      <c r="I91" s="88">
        <v>2.1432720232333011</v>
      </c>
      <c r="J91" s="131">
        <v>89</v>
      </c>
      <c r="K91" s="88">
        <v>2.5043478260869567</v>
      </c>
      <c r="L91" s="131">
        <v>124</v>
      </c>
      <c r="M91" s="88">
        <v>2.38</v>
      </c>
      <c r="N91" s="88">
        <v>89</v>
      </c>
      <c r="O91" s="131">
        <v>126</v>
      </c>
      <c r="P91" s="132">
        <v>20.5</v>
      </c>
      <c r="Q91" s="132">
        <v>19</v>
      </c>
    </row>
    <row r="92" spans="1:17" x14ac:dyDescent="0.25">
      <c r="A92" s="114">
        <v>91</v>
      </c>
      <c r="B92" s="83">
        <v>10.48</v>
      </c>
      <c r="C92" s="92">
        <v>6.4</v>
      </c>
      <c r="D92" s="16">
        <f t="shared" si="3"/>
        <v>2.1984732824427482</v>
      </c>
      <c r="E92" s="16">
        <f t="shared" si="4"/>
        <v>2.4214180747789058</v>
      </c>
      <c r="F92" s="94">
        <v>1.3</v>
      </c>
      <c r="G92" s="102">
        <v>19</v>
      </c>
      <c r="I92" s="88">
        <v>1.9864472410454987</v>
      </c>
      <c r="J92" s="131">
        <v>90</v>
      </c>
      <c r="K92" s="88">
        <v>2.5120307988450432</v>
      </c>
      <c r="L92" s="131">
        <v>35</v>
      </c>
      <c r="M92" s="88">
        <v>2.38</v>
      </c>
      <c r="N92" s="88">
        <v>90</v>
      </c>
      <c r="O92" s="131">
        <v>127</v>
      </c>
      <c r="P92" s="132">
        <v>20.5</v>
      </c>
      <c r="Q92" s="132">
        <v>19</v>
      </c>
    </row>
    <row r="93" spans="1:17" x14ac:dyDescent="0.25">
      <c r="A93" s="114">
        <v>92</v>
      </c>
      <c r="B93" s="83">
        <v>10.28</v>
      </c>
      <c r="C93" s="92">
        <v>4.25</v>
      </c>
      <c r="D93" s="16">
        <f>C93/B93*3.6</f>
        <v>1.4883268482490273</v>
      </c>
      <c r="E93" s="16">
        <f t="shared" si="4"/>
        <v>2.4214180747789058</v>
      </c>
      <c r="F93" s="94">
        <v>1.2</v>
      </c>
      <c r="G93" s="102">
        <v>19</v>
      </c>
      <c r="I93" s="88">
        <v>2.1984732824427482</v>
      </c>
      <c r="J93" s="131">
        <v>91</v>
      </c>
      <c r="K93" s="88">
        <v>2.5263157894736845</v>
      </c>
      <c r="L93" s="131">
        <v>34</v>
      </c>
      <c r="M93" s="88">
        <v>2.38</v>
      </c>
      <c r="N93" s="88">
        <v>91</v>
      </c>
      <c r="O93" s="131">
        <v>128</v>
      </c>
      <c r="P93" s="132">
        <v>20.5</v>
      </c>
      <c r="Q93" s="132">
        <v>19</v>
      </c>
    </row>
    <row r="94" spans="1:17" x14ac:dyDescent="0.25">
      <c r="A94" s="114">
        <v>93</v>
      </c>
      <c r="B94" s="16">
        <v>10.26</v>
      </c>
      <c r="C94" s="92">
        <v>5.05</v>
      </c>
      <c r="D94" s="16">
        <f>C94/B94*3.6</f>
        <v>1.7719298245614035</v>
      </c>
      <c r="E94" s="16">
        <f t="shared" si="4"/>
        <v>2.4214180747789058</v>
      </c>
      <c r="F94" s="94">
        <v>1.1000000000000001</v>
      </c>
      <c r="G94" s="102">
        <v>19</v>
      </c>
      <c r="I94" s="88">
        <v>1.4883268482490273</v>
      </c>
      <c r="J94" s="131">
        <v>92</v>
      </c>
      <c r="K94" s="88">
        <v>2.5320574162679428</v>
      </c>
      <c r="L94" s="131">
        <v>40</v>
      </c>
      <c r="M94" s="88">
        <v>2.38</v>
      </c>
      <c r="N94" s="88">
        <v>92</v>
      </c>
      <c r="O94" s="131">
        <v>129</v>
      </c>
      <c r="P94" s="132">
        <v>20.5</v>
      </c>
      <c r="Q94" s="132">
        <v>19</v>
      </c>
    </row>
    <row r="95" spans="1:17" x14ac:dyDescent="0.25">
      <c r="A95" s="114">
        <v>94</v>
      </c>
      <c r="B95" s="83">
        <v>10.34</v>
      </c>
      <c r="C95" s="92">
        <v>5.2</v>
      </c>
      <c r="D95" s="16">
        <f>C95/B95*3.6</f>
        <v>1.8104448742746615</v>
      </c>
      <c r="E95" s="16">
        <f t="shared" si="4"/>
        <v>2.4214180747789058</v>
      </c>
      <c r="F95" s="94">
        <v>1.1000000000000001</v>
      </c>
      <c r="G95" s="102">
        <v>19</v>
      </c>
      <c r="I95" s="88">
        <v>1.7719298245614035</v>
      </c>
      <c r="J95" s="131">
        <v>93</v>
      </c>
      <c r="K95" s="88">
        <v>2.5438596491228069</v>
      </c>
      <c r="L95" s="131">
        <v>129</v>
      </c>
      <c r="M95" s="88">
        <v>2.38</v>
      </c>
      <c r="N95" s="88">
        <v>93</v>
      </c>
      <c r="O95" s="131">
        <v>130</v>
      </c>
      <c r="P95" s="132">
        <v>20.5</v>
      </c>
      <c r="Q95" s="132">
        <v>19</v>
      </c>
    </row>
    <row r="96" spans="1:17" x14ac:dyDescent="0.25">
      <c r="A96" s="114">
        <v>95</v>
      </c>
      <c r="B96" s="83">
        <v>10.15</v>
      </c>
      <c r="C96" s="92">
        <v>5.3</v>
      </c>
      <c r="D96" s="16">
        <f t="shared" ref="D96:D146" si="5">C96/B96*3.6</f>
        <v>1.8798029556650244</v>
      </c>
      <c r="E96" s="16">
        <f t="shared" si="4"/>
        <v>2.4214180747789058</v>
      </c>
      <c r="F96" s="94">
        <v>1.2</v>
      </c>
      <c r="G96" s="102">
        <v>19</v>
      </c>
      <c r="I96" s="88">
        <v>1.8104448742746615</v>
      </c>
      <c r="J96" s="131">
        <v>94</v>
      </c>
      <c r="K96" s="88">
        <v>2.5440464666021296</v>
      </c>
      <c r="L96" s="131">
        <v>138</v>
      </c>
      <c r="M96" s="88">
        <v>2.38</v>
      </c>
      <c r="N96" s="88">
        <v>94</v>
      </c>
      <c r="O96" s="131">
        <v>16</v>
      </c>
      <c r="P96" s="131">
        <v>21</v>
      </c>
      <c r="Q96" s="132">
        <v>19</v>
      </c>
    </row>
    <row r="97" spans="1:17" x14ac:dyDescent="0.25">
      <c r="A97" s="114">
        <v>96</v>
      </c>
      <c r="B97" s="83">
        <v>10.35</v>
      </c>
      <c r="C97" s="92">
        <v>6.1</v>
      </c>
      <c r="D97" s="16">
        <f t="shared" si="5"/>
        <v>2.1217391304347823</v>
      </c>
      <c r="E97" s="16">
        <f t="shared" si="4"/>
        <v>2.4214180747789058</v>
      </c>
      <c r="F97" s="94">
        <v>1.2</v>
      </c>
      <c r="G97" s="102">
        <v>19</v>
      </c>
      <c r="I97" s="88">
        <v>1.8798029556650244</v>
      </c>
      <c r="J97" s="131">
        <v>95</v>
      </c>
      <c r="K97" s="88">
        <v>2.5590778097982709</v>
      </c>
      <c r="L97" s="131">
        <v>33</v>
      </c>
      <c r="M97" s="88">
        <v>2.38</v>
      </c>
      <c r="N97" s="88">
        <v>95</v>
      </c>
      <c r="O97" s="131">
        <v>46</v>
      </c>
      <c r="P97" s="131">
        <v>21</v>
      </c>
      <c r="Q97" s="132">
        <v>19</v>
      </c>
    </row>
    <row r="98" spans="1:17" x14ac:dyDescent="0.25">
      <c r="A98" s="114">
        <v>97</v>
      </c>
      <c r="B98" s="83">
        <v>10.28</v>
      </c>
      <c r="C98" s="92">
        <v>6.2</v>
      </c>
      <c r="D98" s="16">
        <f t="shared" si="5"/>
        <v>2.1712062256809341</v>
      </c>
      <c r="E98" s="16">
        <f t="shared" si="4"/>
        <v>2.4214180747789058</v>
      </c>
      <c r="F98" s="94">
        <v>1.2</v>
      </c>
      <c r="G98" s="102">
        <v>19.5</v>
      </c>
      <c r="I98" s="88">
        <v>2.1217391304347823</v>
      </c>
      <c r="J98" s="131">
        <v>96</v>
      </c>
      <c r="K98" s="88">
        <v>2.5714285714285716</v>
      </c>
      <c r="L98" s="131">
        <v>132</v>
      </c>
      <c r="M98" s="88">
        <v>2.38</v>
      </c>
      <c r="N98" s="88">
        <v>96</v>
      </c>
      <c r="O98" s="131">
        <v>47</v>
      </c>
      <c r="P98" s="131">
        <v>21</v>
      </c>
      <c r="Q98" s="132">
        <v>19</v>
      </c>
    </row>
    <row r="99" spans="1:17" x14ac:dyDescent="0.25">
      <c r="A99" s="114">
        <v>98</v>
      </c>
      <c r="B99" s="83">
        <v>10.47</v>
      </c>
      <c r="C99" s="92">
        <v>5.7</v>
      </c>
      <c r="D99" s="16">
        <f t="shared" si="5"/>
        <v>1.9598853868194843</v>
      </c>
      <c r="E99" s="16">
        <f t="shared" si="4"/>
        <v>2.4214180747789058</v>
      </c>
      <c r="F99" s="94">
        <v>1.2</v>
      </c>
      <c r="G99" s="102">
        <v>19.5</v>
      </c>
      <c r="I99" s="88">
        <v>2.1712062256809341</v>
      </c>
      <c r="J99" s="131">
        <v>97</v>
      </c>
      <c r="K99" s="88">
        <v>2.5739299610894943</v>
      </c>
      <c r="L99" s="131">
        <v>130</v>
      </c>
      <c r="M99" s="88">
        <v>2.38</v>
      </c>
      <c r="N99" s="88">
        <v>97</v>
      </c>
      <c r="O99" s="131">
        <v>48</v>
      </c>
      <c r="P99" s="131">
        <v>21</v>
      </c>
      <c r="Q99" s="132">
        <v>19.5</v>
      </c>
    </row>
    <row r="100" spans="1:17" x14ac:dyDescent="0.25">
      <c r="A100" s="114">
        <v>99</v>
      </c>
      <c r="B100" s="83">
        <v>10.210000000000001</v>
      </c>
      <c r="C100" s="92">
        <v>5.2</v>
      </c>
      <c r="D100" s="16">
        <f t="shared" si="5"/>
        <v>1.8334965719882468</v>
      </c>
      <c r="E100" s="16">
        <f t="shared" si="4"/>
        <v>2.4214180747789058</v>
      </c>
      <c r="F100" s="94">
        <v>1.2</v>
      </c>
      <c r="G100" s="102">
        <v>19</v>
      </c>
      <c r="I100" s="88">
        <v>1.9598853868194843</v>
      </c>
      <c r="J100" s="131">
        <v>98</v>
      </c>
      <c r="K100" s="88">
        <v>2.5836501901140685</v>
      </c>
      <c r="L100" s="131">
        <v>38</v>
      </c>
      <c r="M100" s="88">
        <v>2.38</v>
      </c>
      <c r="N100" s="88">
        <v>98</v>
      </c>
      <c r="O100" s="131">
        <v>131</v>
      </c>
      <c r="P100" s="132">
        <v>21</v>
      </c>
      <c r="Q100" s="132">
        <v>19.5</v>
      </c>
    </row>
    <row r="101" spans="1:17" x14ac:dyDescent="0.25">
      <c r="A101" s="114">
        <v>100</v>
      </c>
      <c r="B101" s="83">
        <v>10.23</v>
      </c>
      <c r="C101" s="92">
        <v>5</v>
      </c>
      <c r="D101" s="16">
        <f t="shared" si="5"/>
        <v>1.7595307917888561</v>
      </c>
      <c r="E101" s="16">
        <f t="shared" si="4"/>
        <v>2.4214180747789058</v>
      </c>
      <c r="F101" s="94">
        <v>1.3</v>
      </c>
      <c r="G101" s="102">
        <v>19</v>
      </c>
      <c r="I101" s="88">
        <v>1.8334965719882468</v>
      </c>
      <c r="J101" s="131">
        <v>99</v>
      </c>
      <c r="K101" s="88">
        <v>2.5860113421550093</v>
      </c>
      <c r="L101" s="131">
        <v>13</v>
      </c>
      <c r="M101" s="88">
        <v>2.38</v>
      </c>
      <c r="N101" s="88">
        <v>99</v>
      </c>
      <c r="O101" s="131">
        <v>132</v>
      </c>
      <c r="P101" s="132">
        <v>21</v>
      </c>
      <c r="Q101" s="132">
        <v>19</v>
      </c>
    </row>
    <row r="102" spans="1:17" x14ac:dyDescent="0.25">
      <c r="A102" s="114">
        <v>101</v>
      </c>
      <c r="B102" s="83">
        <v>10.19</v>
      </c>
      <c r="C102" s="92">
        <v>6.15</v>
      </c>
      <c r="D102" s="16">
        <f t="shared" si="5"/>
        <v>2.1727183513248285</v>
      </c>
      <c r="E102" s="16">
        <f t="shared" si="4"/>
        <v>2.4214180747789058</v>
      </c>
      <c r="F102" s="94">
        <v>1.2</v>
      </c>
      <c r="G102" s="102">
        <v>19.5</v>
      </c>
      <c r="I102" s="88">
        <v>1.7595307917888561</v>
      </c>
      <c r="J102" s="131">
        <v>100</v>
      </c>
      <c r="K102" s="88">
        <v>2.6058981233243972</v>
      </c>
      <c r="L102" s="131">
        <v>137</v>
      </c>
      <c r="M102" s="88">
        <v>2.38</v>
      </c>
      <c r="N102" s="88">
        <v>100</v>
      </c>
      <c r="O102" s="131">
        <v>133</v>
      </c>
      <c r="P102" s="132">
        <v>21</v>
      </c>
      <c r="Q102" s="132">
        <v>19</v>
      </c>
    </row>
    <row r="103" spans="1:17" x14ac:dyDescent="0.25">
      <c r="A103" s="114">
        <v>102</v>
      </c>
      <c r="B103" s="83">
        <v>10.28</v>
      </c>
      <c r="C103" s="92">
        <v>5</v>
      </c>
      <c r="D103" s="16">
        <f t="shared" si="5"/>
        <v>1.7509727626459146</v>
      </c>
      <c r="E103" s="16">
        <f t="shared" si="4"/>
        <v>2.4214180747789058</v>
      </c>
      <c r="F103" s="94">
        <v>1.3</v>
      </c>
      <c r="G103" s="102">
        <v>19.5</v>
      </c>
      <c r="I103" s="88">
        <v>2.1727183513248285</v>
      </c>
      <c r="J103" s="131">
        <v>101</v>
      </c>
      <c r="K103" s="88">
        <v>2.6341463414634148</v>
      </c>
      <c r="L103" s="131">
        <v>37</v>
      </c>
      <c r="M103" s="88">
        <v>2.38</v>
      </c>
      <c r="N103" s="88">
        <v>101</v>
      </c>
      <c r="O103" s="131">
        <v>134</v>
      </c>
      <c r="P103" s="132">
        <v>21</v>
      </c>
      <c r="Q103" s="132">
        <v>19.5</v>
      </c>
    </row>
    <row r="104" spans="1:17" x14ac:dyDescent="0.25">
      <c r="A104" s="114">
        <v>103</v>
      </c>
      <c r="B104" s="16">
        <v>10.119999999999999</v>
      </c>
      <c r="C104" s="92">
        <v>5.3</v>
      </c>
      <c r="D104" s="16">
        <f t="shared" si="5"/>
        <v>1.8853754940711462</v>
      </c>
      <c r="E104" s="16">
        <f t="shared" si="4"/>
        <v>2.4214180747789058</v>
      </c>
      <c r="F104" s="94">
        <v>1.2</v>
      </c>
      <c r="G104" s="102">
        <v>19.5</v>
      </c>
      <c r="I104" s="88">
        <v>1.7509727626459146</v>
      </c>
      <c r="J104" s="131">
        <v>102</v>
      </c>
      <c r="K104" s="88">
        <v>2.676835081029552</v>
      </c>
      <c r="L104" s="131">
        <v>42</v>
      </c>
      <c r="M104" s="88">
        <v>2.38</v>
      </c>
      <c r="N104" s="88">
        <v>102</v>
      </c>
      <c r="O104" s="131">
        <v>135</v>
      </c>
      <c r="P104" s="132">
        <v>21</v>
      </c>
      <c r="Q104" s="132">
        <v>19.5</v>
      </c>
    </row>
    <row r="105" spans="1:17" x14ac:dyDescent="0.25">
      <c r="A105" s="114">
        <v>104</v>
      </c>
      <c r="B105" s="83">
        <v>10.050000000000001</v>
      </c>
      <c r="C105" s="92">
        <v>5.7</v>
      </c>
      <c r="D105" s="16">
        <f t="shared" si="5"/>
        <v>2.0417910447761192</v>
      </c>
      <c r="E105" s="16">
        <f t="shared" si="4"/>
        <v>2.4214180747789058</v>
      </c>
      <c r="F105" s="94">
        <v>1.2</v>
      </c>
      <c r="G105" s="102">
        <v>19.5</v>
      </c>
      <c r="I105" s="88">
        <v>1.8853754940711462</v>
      </c>
      <c r="J105" s="131">
        <v>103</v>
      </c>
      <c r="K105" s="88">
        <v>2.7203140333660456</v>
      </c>
      <c r="L105" s="131">
        <v>17</v>
      </c>
      <c r="M105" s="88">
        <v>2.38</v>
      </c>
      <c r="N105" s="88">
        <v>103</v>
      </c>
      <c r="O105" s="131">
        <v>136</v>
      </c>
      <c r="P105" s="132">
        <v>21</v>
      </c>
      <c r="Q105" s="132">
        <v>19.5</v>
      </c>
    </row>
    <row r="106" spans="1:17" x14ac:dyDescent="0.25">
      <c r="A106" s="114">
        <v>105</v>
      </c>
      <c r="B106" s="83">
        <v>10.119999999999999</v>
      </c>
      <c r="C106" s="92">
        <v>6.1</v>
      </c>
      <c r="D106" s="16">
        <f t="shared" si="5"/>
        <v>2.1699604743083003</v>
      </c>
      <c r="E106" s="16">
        <f t="shared" si="4"/>
        <v>2.4214180747789058</v>
      </c>
      <c r="F106" s="94">
        <v>1.2</v>
      </c>
      <c r="G106" s="102">
        <v>19.5</v>
      </c>
      <c r="I106" s="88">
        <v>2.0417910447761192</v>
      </c>
      <c r="J106" s="131">
        <v>104</v>
      </c>
      <c r="K106" s="88">
        <v>2.7996183206106871</v>
      </c>
      <c r="L106" s="131">
        <v>45</v>
      </c>
      <c r="M106" s="88">
        <v>2.38</v>
      </c>
      <c r="N106" s="88">
        <v>104</v>
      </c>
      <c r="O106" s="131">
        <v>137</v>
      </c>
      <c r="P106" s="132">
        <v>21</v>
      </c>
      <c r="Q106" s="132">
        <v>19.5</v>
      </c>
    </row>
    <row r="107" spans="1:17" x14ac:dyDescent="0.25">
      <c r="A107" s="114">
        <v>106</v>
      </c>
      <c r="B107" s="83">
        <v>10.26</v>
      </c>
      <c r="C107" s="92">
        <v>5.7</v>
      </c>
      <c r="D107" s="16">
        <f t="shared" si="5"/>
        <v>2</v>
      </c>
      <c r="E107" s="16">
        <f t="shared" si="4"/>
        <v>2.4214180747789058</v>
      </c>
      <c r="F107" s="94">
        <v>1.2</v>
      </c>
      <c r="G107" s="102">
        <v>19.5</v>
      </c>
      <c r="I107" s="88">
        <v>2.1699604743083003</v>
      </c>
      <c r="J107" s="131">
        <v>105</v>
      </c>
      <c r="K107" s="88">
        <v>2.8036866359447004</v>
      </c>
      <c r="L107" s="131">
        <v>44</v>
      </c>
      <c r="M107" s="88">
        <v>2.38</v>
      </c>
      <c r="N107" s="88">
        <v>105</v>
      </c>
      <c r="O107" s="131">
        <v>138</v>
      </c>
      <c r="P107" s="132">
        <v>21</v>
      </c>
      <c r="Q107" s="132">
        <v>19.5</v>
      </c>
    </row>
    <row r="108" spans="1:17" x14ac:dyDescent="0.25">
      <c r="A108" s="114">
        <v>107</v>
      </c>
      <c r="B108" s="83">
        <v>10.130000000000001</v>
      </c>
      <c r="C108" s="92">
        <v>5.8</v>
      </c>
      <c r="D108" s="16">
        <f t="shared" si="5"/>
        <v>2.0612043435340572</v>
      </c>
      <c r="E108" s="16">
        <f t="shared" si="4"/>
        <v>2.4214180747789058</v>
      </c>
      <c r="F108" s="94">
        <v>1.2</v>
      </c>
      <c r="G108" s="102">
        <v>19.5</v>
      </c>
      <c r="I108" s="88">
        <v>2</v>
      </c>
      <c r="J108" s="131">
        <v>106</v>
      </c>
      <c r="K108" s="88">
        <v>2.823869104908566</v>
      </c>
      <c r="L108" s="131">
        <v>43</v>
      </c>
      <c r="M108" s="88">
        <v>2.38</v>
      </c>
      <c r="N108" s="88">
        <v>106</v>
      </c>
      <c r="O108" s="131">
        <v>139</v>
      </c>
      <c r="P108" s="132">
        <v>21</v>
      </c>
      <c r="Q108" s="132">
        <v>19.5</v>
      </c>
    </row>
    <row r="109" spans="1:17" x14ac:dyDescent="0.25">
      <c r="A109" s="114">
        <v>108</v>
      </c>
      <c r="B109" s="83">
        <v>10.130000000000001</v>
      </c>
      <c r="C109" s="92">
        <v>5.8</v>
      </c>
      <c r="D109" s="16">
        <f t="shared" si="5"/>
        <v>2.0612043435340572</v>
      </c>
      <c r="E109" s="16">
        <f t="shared" si="4"/>
        <v>2.4214180747789058</v>
      </c>
      <c r="F109" s="94">
        <v>1.3</v>
      </c>
      <c r="G109" s="102">
        <v>19.5</v>
      </c>
      <c r="I109" s="88">
        <v>2.0612043435340572</v>
      </c>
      <c r="J109" s="131">
        <v>107</v>
      </c>
      <c r="K109" s="88">
        <v>2.8538681948424069</v>
      </c>
      <c r="L109" s="131">
        <v>41</v>
      </c>
      <c r="M109" s="88">
        <v>2.38</v>
      </c>
      <c r="N109" s="88">
        <v>107</v>
      </c>
      <c r="O109" s="131">
        <v>140</v>
      </c>
      <c r="P109" s="132">
        <v>21</v>
      </c>
      <c r="Q109" s="132">
        <v>19.5</v>
      </c>
    </row>
    <row r="110" spans="1:17" x14ac:dyDescent="0.25">
      <c r="A110" s="114">
        <v>109</v>
      </c>
      <c r="B110" s="83">
        <v>10.33</v>
      </c>
      <c r="C110" s="92">
        <v>6.2</v>
      </c>
      <c r="D110" s="16">
        <f t="shared" si="5"/>
        <v>2.1606969990319458</v>
      </c>
      <c r="E110" s="16">
        <f t="shared" si="4"/>
        <v>2.4214180747789058</v>
      </c>
      <c r="F110" s="94">
        <v>1.3</v>
      </c>
      <c r="G110" s="102">
        <v>19.5</v>
      </c>
      <c r="I110" s="88">
        <v>2.0612043435340572</v>
      </c>
      <c r="J110" s="131">
        <v>108</v>
      </c>
      <c r="K110" s="88">
        <v>2.8826815642458099</v>
      </c>
      <c r="L110" s="131">
        <v>76</v>
      </c>
      <c r="M110" s="88">
        <v>2.38</v>
      </c>
      <c r="N110" s="88">
        <v>108</v>
      </c>
      <c r="O110" s="131">
        <v>141</v>
      </c>
      <c r="P110" s="132">
        <v>21</v>
      </c>
      <c r="Q110" s="132">
        <v>19.5</v>
      </c>
    </row>
    <row r="111" spans="1:17" x14ac:dyDescent="0.25">
      <c r="A111" s="114">
        <v>110</v>
      </c>
      <c r="B111" s="83">
        <v>10.53</v>
      </c>
      <c r="C111" s="92">
        <v>6.6</v>
      </c>
      <c r="D111" s="16">
        <f t="shared" si="5"/>
        <v>2.2564102564102564</v>
      </c>
      <c r="E111" s="16">
        <f t="shared" si="4"/>
        <v>2.4214180747789058</v>
      </c>
      <c r="F111" s="94">
        <v>1.2</v>
      </c>
      <c r="G111" s="102">
        <v>19.5</v>
      </c>
      <c r="I111" s="88">
        <v>2.1606969990319458</v>
      </c>
      <c r="J111" s="131">
        <v>109</v>
      </c>
      <c r="K111" s="88">
        <v>2.898876404494382</v>
      </c>
      <c r="L111" s="131">
        <v>79</v>
      </c>
      <c r="M111" s="88">
        <v>2.38</v>
      </c>
      <c r="N111" s="88">
        <v>109</v>
      </c>
      <c r="O111" s="131">
        <v>142</v>
      </c>
      <c r="P111" s="132">
        <v>21</v>
      </c>
      <c r="Q111" s="132">
        <v>19.5</v>
      </c>
    </row>
    <row r="112" spans="1:17" x14ac:dyDescent="0.25">
      <c r="A112" s="114">
        <v>111</v>
      </c>
      <c r="B112" s="83">
        <v>10.210000000000001</v>
      </c>
      <c r="C112" s="92">
        <v>4.8</v>
      </c>
      <c r="D112" s="16">
        <f t="shared" si="5"/>
        <v>1.6924583741429968</v>
      </c>
      <c r="E112" s="16">
        <f t="shared" si="4"/>
        <v>2.4214180747789058</v>
      </c>
      <c r="F112" s="94">
        <v>1.2</v>
      </c>
      <c r="G112" s="102">
        <v>20</v>
      </c>
      <c r="I112" s="88">
        <v>2.2564102564102564</v>
      </c>
      <c r="J112" s="131">
        <v>110</v>
      </c>
      <c r="K112" s="88">
        <v>2.91796875</v>
      </c>
      <c r="L112" s="131">
        <v>47</v>
      </c>
      <c r="M112" s="88">
        <v>2.38</v>
      </c>
      <c r="N112" s="88">
        <v>110</v>
      </c>
      <c r="O112" s="131">
        <v>143</v>
      </c>
      <c r="P112" s="132">
        <v>21</v>
      </c>
      <c r="Q112" s="132">
        <v>19.5</v>
      </c>
    </row>
    <row r="113" spans="1:17" x14ac:dyDescent="0.25">
      <c r="A113" s="114">
        <v>112</v>
      </c>
      <c r="B113" s="83">
        <v>10.210000000000001</v>
      </c>
      <c r="C113" s="92">
        <v>6.5</v>
      </c>
      <c r="D113" s="16">
        <f t="shared" si="5"/>
        <v>2.2918707149853081</v>
      </c>
      <c r="E113" s="16">
        <f t="shared" si="4"/>
        <v>2.4214180747789058</v>
      </c>
      <c r="F113" s="94">
        <v>1.2</v>
      </c>
      <c r="G113" s="102">
        <v>20</v>
      </c>
      <c r="I113" s="88">
        <v>1.6924583741429968</v>
      </c>
      <c r="J113" s="131">
        <v>111</v>
      </c>
      <c r="K113" s="88">
        <v>2.9221902017291064</v>
      </c>
      <c r="L113" s="131">
        <v>56</v>
      </c>
      <c r="M113" s="88">
        <v>2.38</v>
      </c>
      <c r="N113" s="88">
        <v>111</v>
      </c>
      <c r="O113" s="131">
        <v>144</v>
      </c>
      <c r="P113" s="132">
        <v>21</v>
      </c>
      <c r="Q113" s="132">
        <v>20</v>
      </c>
    </row>
    <row r="114" spans="1:17" x14ac:dyDescent="0.25">
      <c r="A114" s="114">
        <v>113</v>
      </c>
      <c r="B114" s="83">
        <v>10.36</v>
      </c>
      <c r="C114" s="92">
        <v>6.4</v>
      </c>
      <c r="D114" s="16">
        <f t="shared" si="5"/>
        <v>2.2239382239382244</v>
      </c>
      <c r="E114" s="16">
        <f t="shared" si="4"/>
        <v>2.4214180747789058</v>
      </c>
      <c r="F114" s="94">
        <v>1.3</v>
      </c>
      <c r="G114" s="102">
        <v>20</v>
      </c>
      <c r="I114" s="88">
        <v>2.2918707149853081</v>
      </c>
      <c r="J114" s="131">
        <v>112</v>
      </c>
      <c r="K114" s="88">
        <v>2.9226361031518624</v>
      </c>
      <c r="L114" s="131">
        <v>48</v>
      </c>
      <c r="M114" s="88">
        <v>2.38</v>
      </c>
      <c r="N114" s="88">
        <v>112</v>
      </c>
      <c r="O114" s="131">
        <v>49</v>
      </c>
      <c r="P114" s="131">
        <v>21.5</v>
      </c>
      <c r="Q114" s="132">
        <v>20</v>
      </c>
    </row>
    <row r="115" spans="1:17" x14ac:dyDescent="0.25">
      <c r="A115" s="114">
        <v>114</v>
      </c>
      <c r="B115" s="83">
        <v>10.199999999999999</v>
      </c>
      <c r="C115" s="92">
        <v>5.3</v>
      </c>
      <c r="D115" s="16">
        <f t="shared" si="5"/>
        <v>1.8705882352941179</v>
      </c>
      <c r="E115" s="16">
        <f t="shared" si="4"/>
        <v>2.4214180747789058</v>
      </c>
      <c r="F115" s="94">
        <v>1.3</v>
      </c>
      <c r="G115" s="102">
        <v>20</v>
      </c>
      <c r="I115" s="88">
        <v>2.2239382239382244</v>
      </c>
      <c r="J115" s="131">
        <v>113</v>
      </c>
      <c r="K115" s="88">
        <v>2.9273959341723135</v>
      </c>
      <c r="L115" s="131">
        <v>59</v>
      </c>
      <c r="M115" s="88">
        <v>2.38</v>
      </c>
      <c r="N115" s="88">
        <v>113</v>
      </c>
      <c r="O115" s="131">
        <v>50</v>
      </c>
      <c r="P115" s="131">
        <v>21.5</v>
      </c>
      <c r="Q115" s="132">
        <v>20</v>
      </c>
    </row>
    <row r="116" spans="1:17" x14ac:dyDescent="0.25">
      <c r="A116" s="114">
        <v>115</v>
      </c>
      <c r="B116" s="83">
        <v>10.3</v>
      </c>
      <c r="C116" s="92">
        <v>5.6</v>
      </c>
      <c r="D116" s="16">
        <f t="shared" si="5"/>
        <v>1.9572815533980583</v>
      </c>
      <c r="E116" s="16">
        <f t="shared" si="4"/>
        <v>2.4214180747789058</v>
      </c>
      <c r="F116" s="94">
        <v>1.2</v>
      </c>
      <c r="G116" s="102">
        <v>20</v>
      </c>
      <c r="I116" s="88">
        <v>1.8705882352941179</v>
      </c>
      <c r="J116" s="131">
        <v>114</v>
      </c>
      <c r="K116" s="88">
        <v>2.9391304347826086</v>
      </c>
      <c r="L116" s="131">
        <v>14</v>
      </c>
      <c r="M116" s="88">
        <v>2.38</v>
      </c>
      <c r="N116" s="88">
        <v>114</v>
      </c>
      <c r="O116" s="131">
        <v>51</v>
      </c>
      <c r="P116" s="131">
        <v>21.5</v>
      </c>
      <c r="Q116" s="132">
        <v>20</v>
      </c>
    </row>
    <row r="117" spans="1:17" x14ac:dyDescent="0.25">
      <c r="A117" s="114">
        <v>116</v>
      </c>
      <c r="B117" s="83">
        <v>10.35</v>
      </c>
      <c r="C117" s="92">
        <v>5.5</v>
      </c>
      <c r="D117" s="16">
        <f t="shared" si="5"/>
        <v>1.9130434782608696</v>
      </c>
      <c r="E117" s="16">
        <f t="shared" si="4"/>
        <v>2.4214180747789058</v>
      </c>
      <c r="F117" s="94">
        <v>1.3</v>
      </c>
      <c r="G117" s="102">
        <v>20</v>
      </c>
      <c r="I117" s="88">
        <v>1.9572815533980583</v>
      </c>
      <c r="J117" s="131">
        <v>115</v>
      </c>
      <c r="K117" s="88">
        <v>2.979788257940327</v>
      </c>
      <c r="L117" s="131">
        <v>57</v>
      </c>
      <c r="M117" s="88">
        <v>2.38</v>
      </c>
      <c r="N117" s="88">
        <v>115</v>
      </c>
      <c r="O117" s="131">
        <v>52</v>
      </c>
      <c r="P117" s="131">
        <v>22</v>
      </c>
      <c r="Q117" s="132">
        <v>20</v>
      </c>
    </row>
    <row r="118" spans="1:17" x14ac:dyDescent="0.25">
      <c r="A118" s="114">
        <v>117</v>
      </c>
      <c r="B118" s="83">
        <v>10.199999999999999</v>
      </c>
      <c r="C118" s="92">
        <v>6.5</v>
      </c>
      <c r="D118" s="16">
        <f t="shared" si="5"/>
        <v>2.2941176470588238</v>
      </c>
      <c r="E118" s="16">
        <f t="shared" si="4"/>
        <v>2.4214180747789058</v>
      </c>
      <c r="F118" s="94">
        <v>1.2</v>
      </c>
      <c r="G118" s="102">
        <v>20</v>
      </c>
      <c r="I118" s="88">
        <v>1.9130434782608696</v>
      </c>
      <c r="J118" s="131">
        <v>116</v>
      </c>
      <c r="K118" s="88">
        <v>3.0029268292682931</v>
      </c>
      <c r="L118" s="131">
        <v>15</v>
      </c>
      <c r="M118" s="88">
        <v>2.38</v>
      </c>
      <c r="N118" s="88">
        <v>116</v>
      </c>
      <c r="O118" s="131">
        <v>53</v>
      </c>
      <c r="P118" s="131">
        <v>22.5</v>
      </c>
      <c r="Q118" s="132">
        <v>20</v>
      </c>
    </row>
    <row r="119" spans="1:17" x14ac:dyDescent="0.25">
      <c r="A119" s="114">
        <v>118</v>
      </c>
      <c r="B119" s="83">
        <v>10.28</v>
      </c>
      <c r="C119" s="92">
        <v>6.6</v>
      </c>
      <c r="D119" s="16">
        <f t="shared" si="5"/>
        <v>2.3112840466926072</v>
      </c>
      <c r="E119" s="16">
        <f t="shared" si="4"/>
        <v>2.4214180747789058</v>
      </c>
      <c r="F119" s="94">
        <v>1.2</v>
      </c>
      <c r="G119" s="102">
        <v>20</v>
      </c>
      <c r="I119" s="88">
        <v>2.2941176470588238</v>
      </c>
      <c r="J119" s="131">
        <v>117</v>
      </c>
      <c r="K119" s="88">
        <v>3.046153846153846</v>
      </c>
      <c r="L119" s="131">
        <v>50</v>
      </c>
      <c r="M119" s="88">
        <v>2.38</v>
      </c>
      <c r="N119" s="88">
        <v>117</v>
      </c>
      <c r="O119" s="131">
        <v>54</v>
      </c>
      <c r="P119" s="131">
        <v>22.5</v>
      </c>
      <c r="Q119" s="132">
        <v>20</v>
      </c>
    </row>
    <row r="120" spans="1:17" x14ac:dyDescent="0.25">
      <c r="A120" s="114">
        <v>119</v>
      </c>
      <c r="B120" s="83">
        <v>10.28</v>
      </c>
      <c r="C120" s="92">
        <v>6.9</v>
      </c>
      <c r="D120" s="16">
        <f t="shared" si="5"/>
        <v>2.4163424124513622</v>
      </c>
      <c r="E120" s="16">
        <f t="shared" si="4"/>
        <v>2.4214180747789058</v>
      </c>
      <c r="F120" s="94">
        <v>1.2</v>
      </c>
      <c r="G120" s="102">
        <v>20</v>
      </c>
      <c r="I120" s="88">
        <v>2.3112840466926072</v>
      </c>
      <c r="J120" s="131">
        <v>118</v>
      </c>
      <c r="K120" s="88">
        <v>3.0857142857142854</v>
      </c>
      <c r="L120" s="131">
        <v>16</v>
      </c>
      <c r="M120" s="88">
        <v>2.38</v>
      </c>
      <c r="N120" s="88">
        <v>118</v>
      </c>
      <c r="O120" s="131">
        <v>55</v>
      </c>
      <c r="P120" s="131">
        <v>22.5</v>
      </c>
      <c r="Q120" s="132">
        <v>20</v>
      </c>
    </row>
    <row r="121" spans="1:17" x14ac:dyDescent="0.25">
      <c r="A121" s="114">
        <v>120</v>
      </c>
      <c r="B121" s="83">
        <v>10.35</v>
      </c>
      <c r="C121" s="92">
        <v>7</v>
      </c>
      <c r="D121" s="16">
        <f t="shared" si="5"/>
        <v>2.4347826086956523</v>
      </c>
      <c r="E121" s="16">
        <f t="shared" si="4"/>
        <v>2.4214180747789058</v>
      </c>
      <c r="F121" s="94">
        <v>1.2</v>
      </c>
      <c r="G121" s="102">
        <v>20</v>
      </c>
      <c r="I121" s="88">
        <v>2.4163424124513622</v>
      </c>
      <c r="J121" s="131">
        <v>119</v>
      </c>
      <c r="K121" s="88">
        <v>3.0907317073170737</v>
      </c>
      <c r="L121" s="131">
        <v>46</v>
      </c>
      <c r="M121" s="88">
        <v>2.38</v>
      </c>
      <c r="N121" s="88">
        <v>119</v>
      </c>
      <c r="O121" s="131">
        <v>56</v>
      </c>
      <c r="P121" s="131">
        <v>22.5</v>
      </c>
      <c r="Q121" s="132">
        <v>20</v>
      </c>
    </row>
    <row r="122" spans="1:17" x14ac:dyDescent="0.25">
      <c r="A122" s="114">
        <v>121</v>
      </c>
      <c r="B122" s="83">
        <v>10.41</v>
      </c>
      <c r="C122" s="92">
        <v>6.3</v>
      </c>
      <c r="D122" s="16">
        <f t="shared" si="5"/>
        <v>2.1786743515850144</v>
      </c>
      <c r="E122" s="16">
        <f t="shared" si="4"/>
        <v>2.4214180747789058</v>
      </c>
      <c r="F122" s="94">
        <v>1.2</v>
      </c>
      <c r="G122" s="102">
        <v>20</v>
      </c>
      <c r="I122" s="88">
        <v>2.4347826086956523</v>
      </c>
      <c r="J122" s="131">
        <v>120</v>
      </c>
      <c r="K122" s="88">
        <v>3.0969581749049433</v>
      </c>
      <c r="L122" s="131">
        <v>49</v>
      </c>
      <c r="M122" s="88">
        <v>2.38</v>
      </c>
      <c r="N122" s="88">
        <v>120</v>
      </c>
      <c r="O122" s="131">
        <v>57</v>
      </c>
      <c r="P122" s="131">
        <v>22.5</v>
      </c>
      <c r="Q122" s="132">
        <v>20</v>
      </c>
    </row>
    <row r="123" spans="1:17" x14ac:dyDescent="0.25">
      <c r="A123" s="114">
        <v>122</v>
      </c>
      <c r="B123" s="83">
        <v>10.38</v>
      </c>
      <c r="C123" s="92">
        <v>6.2</v>
      </c>
      <c r="D123" s="16">
        <f t="shared" si="5"/>
        <v>2.1502890173410405</v>
      </c>
      <c r="E123" s="16">
        <f t="shared" si="4"/>
        <v>2.4214180747789058</v>
      </c>
      <c r="F123" s="94">
        <v>1.3</v>
      </c>
      <c r="G123" s="102">
        <v>20</v>
      </c>
      <c r="I123" s="88">
        <v>2.1786743515850144</v>
      </c>
      <c r="J123" s="131">
        <v>121</v>
      </c>
      <c r="K123" s="88">
        <v>3.1052132701421797</v>
      </c>
      <c r="L123" s="131">
        <v>78</v>
      </c>
      <c r="M123" s="88">
        <v>2.38</v>
      </c>
      <c r="N123" s="88">
        <v>121</v>
      </c>
      <c r="O123" s="131">
        <v>58</v>
      </c>
      <c r="P123" s="131">
        <v>23</v>
      </c>
      <c r="Q123" s="132">
        <v>20</v>
      </c>
    </row>
    <row r="124" spans="1:17" x14ac:dyDescent="0.25">
      <c r="A124" s="114">
        <v>123</v>
      </c>
      <c r="B124" s="83">
        <v>10.54</v>
      </c>
      <c r="C124" s="92">
        <v>6.3</v>
      </c>
      <c r="D124" s="16">
        <f t="shared" si="5"/>
        <v>2.1518026565464896</v>
      </c>
      <c r="E124" s="16">
        <f t="shared" si="4"/>
        <v>2.4214180747789058</v>
      </c>
      <c r="F124" s="94">
        <v>1.1000000000000001</v>
      </c>
      <c r="G124" s="102">
        <v>20.5</v>
      </c>
      <c r="I124" s="88">
        <v>2.1502890173410405</v>
      </c>
      <c r="J124" s="131">
        <v>122</v>
      </c>
      <c r="K124" s="88">
        <v>3.1304347826086958</v>
      </c>
      <c r="L124" s="131">
        <v>58</v>
      </c>
      <c r="M124" s="88">
        <v>2.38</v>
      </c>
      <c r="N124" s="88">
        <v>122</v>
      </c>
      <c r="O124" s="131">
        <v>59</v>
      </c>
      <c r="P124" s="131">
        <v>23</v>
      </c>
      <c r="Q124" s="132">
        <v>20</v>
      </c>
    </row>
    <row r="125" spans="1:17" x14ac:dyDescent="0.25">
      <c r="A125" s="114">
        <v>124</v>
      </c>
      <c r="B125" s="83">
        <v>10.35</v>
      </c>
      <c r="C125" s="92">
        <v>7.2</v>
      </c>
      <c r="D125" s="16">
        <f t="shared" si="5"/>
        <v>2.5043478260869567</v>
      </c>
      <c r="E125" s="16">
        <f t="shared" si="4"/>
        <v>2.4214180747789058</v>
      </c>
      <c r="F125" s="94">
        <v>1.2</v>
      </c>
      <c r="G125" s="102">
        <v>20.5</v>
      </c>
      <c r="I125" s="88">
        <v>2.1518026565464896</v>
      </c>
      <c r="J125" s="131">
        <v>123</v>
      </c>
      <c r="K125" s="88">
        <v>3.1633237822349565</v>
      </c>
      <c r="L125" s="131">
        <v>77</v>
      </c>
      <c r="M125" s="88">
        <v>2.38</v>
      </c>
      <c r="N125" s="88">
        <v>123</v>
      </c>
      <c r="O125" s="131">
        <v>60</v>
      </c>
      <c r="P125" s="131">
        <v>23</v>
      </c>
      <c r="Q125" s="132">
        <v>20.5</v>
      </c>
    </row>
    <row r="126" spans="1:17" x14ac:dyDescent="0.25">
      <c r="A126" s="114">
        <v>125</v>
      </c>
      <c r="B126" s="83">
        <v>10.43</v>
      </c>
      <c r="C126" s="92">
        <v>6.9</v>
      </c>
      <c r="D126" s="16">
        <f t="shared" si="5"/>
        <v>2.3815915627996165</v>
      </c>
      <c r="E126" s="16">
        <f t="shared" si="4"/>
        <v>2.4214180747789058</v>
      </c>
      <c r="F126" s="94">
        <v>1.3</v>
      </c>
      <c r="G126" s="102">
        <v>20.5</v>
      </c>
      <c r="I126" s="88">
        <v>2.5043478260869567</v>
      </c>
      <c r="J126" s="131">
        <v>124</v>
      </c>
      <c r="K126" s="88">
        <v>3.1907514450867049</v>
      </c>
      <c r="L126" s="131">
        <v>52</v>
      </c>
      <c r="M126" s="88">
        <v>2.38</v>
      </c>
      <c r="N126" s="88">
        <v>124</v>
      </c>
      <c r="O126" s="131">
        <v>61</v>
      </c>
      <c r="P126" s="132">
        <v>23.5</v>
      </c>
      <c r="Q126" s="132">
        <v>20.5</v>
      </c>
    </row>
    <row r="127" spans="1:17" x14ac:dyDescent="0.25">
      <c r="A127" s="114">
        <v>126</v>
      </c>
      <c r="B127" s="83">
        <v>10.3</v>
      </c>
      <c r="C127" s="92">
        <v>6.9</v>
      </c>
      <c r="D127" s="16">
        <f t="shared" si="5"/>
        <v>2.4116504854368932</v>
      </c>
      <c r="E127" s="16">
        <f t="shared" si="4"/>
        <v>2.4214180747789058</v>
      </c>
      <c r="F127" s="94">
        <v>1.3</v>
      </c>
      <c r="G127" s="102">
        <v>20.5</v>
      </c>
      <c r="I127" s="88">
        <v>2.3815915627996165</v>
      </c>
      <c r="J127" s="131">
        <v>125</v>
      </c>
      <c r="K127" s="88">
        <v>3.1996197718631181</v>
      </c>
      <c r="L127" s="131">
        <v>62</v>
      </c>
      <c r="M127" s="88">
        <v>2.38</v>
      </c>
      <c r="N127" s="88">
        <v>125</v>
      </c>
      <c r="O127" s="131">
        <v>62</v>
      </c>
      <c r="P127" s="132">
        <v>23.5</v>
      </c>
      <c r="Q127" s="132">
        <v>20.5</v>
      </c>
    </row>
    <row r="128" spans="1:17" x14ac:dyDescent="0.25">
      <c r="A128" s="114">
        <v>127</v>
      </c>
      <c r="B128" s="83">
        <v>10.14</v>
      </c>
      <c r="C128" s="92">
        <v>6.1</v>
      </c>
      <c r="D128" s="16">
        <f t="shared" si="5"/>
        <v>2.165680473372781</v>
      </c>
      <c r="E128" s="16">
        <f t="shared" si="4"/>
        <v>2.4214180747789058</v>
      </c>
      <c r="F128" s="94">
        <v>1.3</v>
      </c>
      <c r="G128" s="102">
        <v>20.5</v>
      </c>
      <c r="I128" s="88">
        <v>2.4116504854368932</v>
      </c>
      <c r="J128" s="131">
        <v>126</v>
      </c>
      <c r="K128" s="88">
        <v>3.2272291466922338</v>
      </c>
      <c r="L128" s="131">
        <v>61</v>
      </c>
      <c r="M128" s="88">
        <v>2.38</v>
      </c>
      <c r="N128" s="88">
        <v>126</v>
      </c>
      <c r="O128" s="131">
        <v>63</v>
      </c>
      <c r="P128" s="132">
        <v>23.5</v>
      </c>
      <c r="Q128" s="132">
        <v>20.5</v>
      </c>
    </row>
    <row r="129" spans="1:17" x14ac:dyDescent="0.25">
      <c r="A129" s="114">
        <v>128</v>
      </c>
      <c r="B129" s="83">
        <v>10.26</v>
      </c>
      <c r="C129" s="92">
        <v>6.55</v>
      </c>
      <c r="D129" s="16">
        <f t="shared" si="5"/>
        <v>2.2982456140350878</v>
      </c>
      <c r="E129" s="16">
        <f t="shared" si="4"/>
        <v>2.4214180747789058</v>
      </c>
      <c r="F129" s="94">
        <v>1.2</v>
      </c>
      <c r="G129" s="102">
        <v>20.5</v>
      </c>
      <c r="I129" s="88">
        <v>2.165680473372781</v>
      </c>
      <c r="J129" s="131">
        <v>127</v>
      </c>
      <c r="K129" s="88">
        <v>3.307177033492823</v>
      </c>
      <c r="L129" s="131">
        <v>69</v>
      </c>
      <c r="M129" s="88">
        <v>2.38</v>
      </c>
      <c r="N129" s="88">
        <v>127</v>
      </c>
      <c r="O129" s="131">
        <v>64</v>
      </c>
      <c r="P129" s="132">
        <v>24</v>
      </c>
      <c r="Q129" s="132">
        <v>20.5</v>
      </c>
    </row>
    <row r="130" spans="1:17" x14ac:dyDescent="0.25">
      <c r="A130" s="114">
        <v>129</v>
      </c>
      <c r="B130" s="83">
        <v>10.26</v>
      </c>
      <c r="C130" s="92">
        <v>7.25</v>
      </c>
      <c r="D130" s="16">
        <f t="shared" si="5"/>
        <v>2.5438596491228069</v>
      </c>
      <c r="E130" s="16">
        <f t="shared" si="4"/>
        <v>2.4214180747789058</v>
      </c>
      <c r="F130" s="94">
        <v>1.2</v>
      </c>
      <c r="G130" s="102">
        <v>20.5</v>
      </c>
      <c r="I130" s="88">
        <v>2.2982456140350878</v>
      </c>
      <c r="J130" s="131">
        <v>128</v>
      </c>
      <c r="K130" s="88">
        <v>3.3198847262247839</v>
      </c>
      <c r="L130" s="131">
        <v>66</v>
      </c>
      <c r="M130" s="88">
        <v>2.38</v>
      </c>
      <c r="N130" s="88">
        <v>128</v>
      </c>
      <c r="O130" s="131">
        <v>65</v>
      </c>
      <c r="P130" s="132">
        <v>24</v>
      </c>
      <c r="Q130" s="132">
        <v>20.5</v>
      </c>
    </row>
    <row r="131" spans="1:17" x14ac:dyDescent="0.25">
      <c r="A131" s="114">
        <v>130</v>
      </c>
      <c r="B131" s="83">
        <v>10.28</v>
      </c>
      <c r="C131" s="92">
        <v>7.35</v>
      </c>
      <c r="D131" s="16">
        <f t="shared" si="5"/>
        <v>2.5739299610894943</v>
      </c>
      <c r="E131" s="16">
        <f t="shared" si="4"/>
        <v>2.4214180747789058</v>
      </c>
      <c r="F131" s="94">
        <v>1.2</v>
      </c>
      <c r="G131" s="102">
        <v>20.5</v>
      </c>
      <c r="I131" s="88">
        <v>2.5438596491228069</v>
      </c>
      <c r="J131" s="131">
        <v>129</v>
      </c>
      <c r="K131" s="88">
        <v>3.3230769230769228</v>
      </c>
      <c r="L131" s="131">
        <v>67</v>
      </c>
      <c r="M131" s="88">
        <v>2.38</v>
      </c>
      <c r="N131" s="88">
        <v>129</v>
      </c>
      <c r="O131" s="131">
        <v>66</v>
      </c>
      <c r="P131" s="132">
        <v>24</v>
      </c>
      <c r="Q131" s="132">
        <v>20.5</v>
      </c>
    </row>
    <row r="132" spans="1:17" x14ac:dyDescent="0.25">
      <c r="A132" s="114">
        <v>131</v>
      </c>
      <c r="B132" s="83">
        <v>10.4</v>
      </c>
      <c r="C132" s="92">
        <v>7.2</v>
      </c>
      <c r="D132" s="16">
        <f t="shared" si="5"/>
        <v>2.4923076923076923</v>
      </c>
      <c r="E132" s="16">
        <f t="shared" ref="E132:E144" si="6">SUM(AVERAGE($D$2:$D$146))</f>
        <v>2.4214180747789058</v>
      </c>
      <c r="F132" s="94">
        <v>1.2</v>
      </c>
      <c r="G132" s="102">
        <v>21</v>
      </c>
      <c r="I132" s="88">
        <v>2.5739299610894943</v>
      </c>
      <c r="J132" s="131">
        <v>130</v>
      </c>
      <c r="K132" s="88">
        <v>3.3455953533397871</v>
      </c>
      <c r="L132" s="131">
        <v>60</v>
      </c>
      <c r="M132" s="88">
        <v>2.38</v>
      </c>
      <c r="N132" s="88">
        <v>130</v>
      </c>
      <c r="O132" s="131">
        <v>67</v>
      </c>
      <c r="P132" s="132">
        <v>24.5</v>
      </c>
      <c r="Q132" s="132">
        <v>20.5</v>
      </c>
    </row>
    <row r="133" spans="1:17" x14ac:dyDescent="0.25">
      <c r="A133" s="114">
        <v>132</v>
      </c>
      <c r="B133" s="83">
        <v>10.29</v>
      </c>
      <c r="C133" s="92">
        <v>7.35</v>
      </c>
      <c r="D133" s="16">
        <f t="shared" si="5"/>
        <v>2.5714285714285716</v>
      </c>
      <c r="E133" s="16">
        <f t="shared" si="6"/>
        <v>2.4214180747789058</v>
      </c>
      <c r="F133" s="94">
        <v>1.2</v>
      </c>
      <c r="G133" s="102">
        <v>21</v>
      </c>
      <c r="I133" s="88">
        <v>2.4923076923076923</v>
      </c>
      <c r="J133" s="131">
        <v>131</v>
      </c>
      <c r="K133" s="88">
        <v>3.3639921722113502</v>
      </c>
      <c r="L133" s="131">
        <v>64</v>
      </c>
      <c r="M133" s="88">
        <v>2.38</v>
      </c>
      <c r="N133" s="88">
        <v>131</v>
      </c>
      <c r="O133" s="131">
        <v>68</v>
      </c>
      <c r="P133" s="132">
        <v>24.5</v>
      </c>
      <c r="Q133" s="132">
        <v>21</v>
      </c>
    </row>
    <row r="134" spans="1:17" x14ac:dyDescent="0.25">
      <c r="A134" s="114">
        <v>133</v>
      </c>
      <c r="B134" s="83">
        <v>10.29</v>
      </c>
      <c r="C134" s="92">
        <v>6.9</v>
      </c>
      <c r="D134" s="16">
        <f t="shared" si="5"/>
        <v>2.4139941690962101</v>
      </c>
      <c r="E134" s="16">
        <f t="shared" si="6"/>
        <v>2.4214180747789058</v>
      </c>
      <c r="F134" s="94">
        <v>1.2</v>
      </c>
      <c r="G134" s="102">
        <v>21</v>
      </c>
      <c r="I134" s="88">
        <v>2.5714285714285716</v>
      </c>
      <c r="J134" s="131">
        <v>132</v>
      </c>
      <c r="K134" s="88">
        <v>3.3675213675213675</v>
      </c>
      <c r="L134" s="131">
        <v>55</v>
      </c>
      <c r="M134" s="88">
        <v>2.38</v>
      </c>
      <c r="N134" s="88">
        <v>132</v>
      </c>
      <c r="O134" s="131">
        <v>69</v>
      </c>
      <c r="P134" s="132">
        <v>25</v>
      </c>
      <c r="Q134" s="132">
        <v>21</v>
      </c>
    </row>
    <row r="135" spans="1:17" x14ac:dyDescent="0.25">
      <c r="A135" s="114">
        <v>134</v>
      </c>
      <c r="B135" s="83">
        <v>10.26</v>
      </c>
      <c r="C135" s="92">
        <v>6.55</v>
      </c>
      <c r="D135" s="16">
        <f t="shared" si="5"/>
        <v>2.2982456140350878</v>
      </c>
      <c r="E135" s="16">
        <f t="shared" si="6"/>
        <v>2.4214180747789058</v>
      </c>
      <c r="F135" s="94">
        <v>1.2</v>
      </c>
      <c r="G135" s="102">
        <v>21</v>
      </c>
      <c r="I135" s="88">
        <v>2.4139941690962101</v>
      </c>
      <c r="J135" s="131">
        <v>133</v>
      </c>
      <c r="K135" s="88">
        <v>3.3781990521327012</v>
      </c>
      <c r="L135" s="131">
        <v>51</v>
      </c>
      <c r="M135" s="88">
        <v>2.38</v>
      </c>
      <c r="N135" s="88">
        <v>133</v>
      </c>
      <c r="O135" s="131">
        <v>70</v>
      </c>
      <c r="P135" s="132">
        <v>25</v>
      </c>
      <c r="Q135" s="132">
        <v>21</v>
      </c>
    </row>
    <row r="136" spans="1:17" x14ac:dyDescent="0.25">
      <c r="A136" s="114">
        <v>135</v>
      </c>
      <c r="B136" s="83">
        <v>10.37</v>
      </c>
      <c r="C136" s="92">
        <v>6.65</v>
      </c>
      <c r="D136" s="16">
        <f t="shared" si="5"/>
        <v>2.3085824493731923</v>
      </c>
      <c r="E136" s="16">
        <f t="shared" si="6"/>
        <v>2.4214180747789058</v>
      </c>
      <c r="F136" s="94">
        <v>1.1000000000000001</v>
      </c>
      <c r="G136" s="102">
        <v>21</v>
      </c>
      <c r="I136" s="88">
        <v>2.2982456140350878</v>
      </c>
      <c r="J136" s="131">
        <v>134</v>
      </c>
      <c r="K136" s="88">
        <v>3.3935860058309042</v>
      </c>
      <c r="L136" s="131">
        <v>73</v>
      </c>
      <c r="M136" s="88">
        <v>2.38</v>
      </c>
      <c r="N136" s="88">
        <v>134</v>
      </c>
      <c r="O136" s="131">
        <v>71</v>
      </c>
      <c r="P136" s="132">
        <v>25.5</v>
      </c>
      <c r="Q136" s="132">
        <v>21</v>
      </c>
    </row>
    <row r="137" spans="1:17" x14ac:dyDescent="0.25">
      <c r="A137" s="114">
        <v>136</v>
      </c>
      <c r="B137" s="83">
        <v>10.28</v>
      </c>
      <c r="C137" s="92">
        <v>7.05</v>
      </c>
      <c r="D137" s="16">
        <f t="shared" si="5"/>
        <v>2.4688715953307394</v>
      </c>
      <c r="E137" s="16">
        <f t="shared" si="6"/>
        <v>2.4214180747789058</v>
      </c>
      <c r="F137" s="94">
        <v>1.2</v>
      </c>
      <c r="G137" s="102">
        <v>21</v>
      </c>
      <c r="I137" s="88">
        <v>2.3085824493731923</v>
      </c>
      <c r="J137" s="131">
        <v>135</v>
      </c>
      <c r="K137" s="88">
        <v>3.4188034188034191</v>
      </c>
      <c r="L137" s="131">
        <v>65</v>
      </c>
      <c r="M137" s="88">
        <v>2.38</v>
      </c>
      <c r="N137" s="88">
        <v>135</v>
      </c>
      <c r="O137" s="131">
        <v>72</v>
      </c>
      <c r="P137" s="132">
        <v>25.5</v>
      </c>
      <c r="Q137" s="132">
        <v>21</v>
      </c>
    </row>
    <row r="138" spans="1:17" x14ac:dyDescent="0.25">
      <c r="A138" s="114">
        <v>137</v>
      </c>
      <c r="B138" s="83">
        <v>11.19</v>
      </c>
      <c r="C138" s="92">
        <v>8.1</v>
      </c>
      <c r="D138" s="16">
        <f t="shared" si="5"/>
        <v>2.6058981233243972</v>
      </c>
      <c r="E138" s="16">
        <f t="shared" si="6"/>
        <v>2.4214180747789058</v>
      </c>
      <c r="F138" s="94">
        <v>1.2</v>
      </c>
      <c r="G138" s="102">
        <v>21</v>
      </c>
      <c r="I138" s="88">
        <v>2.4688715953307394</v>
      </c>
      <c r="J138" s="131">
        <v>136</v>
      </c>
      <c r="K138" s="88">
        <v>3.4319066147859929</v>
      </c>
      <c r="L138" s="131">
        <v>54</v>
      </c>
      <c r="M138" s="88">
        <v>2.38</v>
      </c>
      <c r="N138" s="88">
        <v>136</v>
      </c>
      <c r="O138" s="131">
        <v>73</v>
      </c>
      <c r="P138" s="132">
        <v>25.5</v>
      </c>
      <c r="Q138" s="132">
        <v>21</v>
      </c>
    </row>
    <row r="139" spans="1:17" x14ac:dyDescent="0.25">
      <c r="A139" s="114">
        <v>138</v>
      </c>
      <c r="B139" s="83">
        <v>10.33</v>
      </c>
      <c r="C139" s="92">
        <v>7.3</v>
      </c>
      <c r="D139" s="16">
        <f t="shared" si="5"/>
        <v>2.5440464666021296</v>
      </c>
      <c r="E139" s="16">
        <f t="shared" si="6"/>
        <v>2.4214180747789058</v>
      </c>
      <c r="F139" s="94">
        <v>1.2</v>
      </c>
      <c r="G139" s="102">
        <v>21</v>
      </c>
      <c r="I139" s="88">
        <v>2.6058981233243972</v>
      </c>
      <c r="J139" s="131">
        <v>137</v>
      </c>
      <c r="K139" s="88">
        <v>3.4434782608695653</v>
      </c>
      <c r="L139" s="131">
        <v>63</v>
      </c>
      <c r="M139" s="88">
        <v>2.38</v>
      </c>
      <c r="N139" s="88">
        <v>137</v>
      </c>
      <c r="O139" s="131">
        <v>74</v>
      </c>
      <c r="P139" s="132">
        <v>25.5</v>
      </c>
      <c r="Q139" s="132">
        <v>21</v>
      </c>
    </row>
    <row r="140" spans="1:17" x14ac:dyDescent="0.25">
      <c r="A140" s="114">
        <v>139</v>
      </c>
      <c r="B140" s="83">
        <v>10.210000000000001</v>
      </c>
      <c r="C140" s="92">
        <v>6.6</v>
      </c>
      <c r="D140" s="16">
        <f t="shared" si="5"/>
        <v>2.327130264446621</v>
      </c>
      <c r="E140" s="16">
        <f t="shared" si="6"/>
        <v>2.4214180747789058</v>
      </c>
      <c r="F140" s="94">
        <v>1.2</v>
      </c>
      <c r="G140" s="102">
        <v>21</v>
      </c>
      <c r="I140" s="88">
        <v>2.5440464666021296</v>
      </c>
      <c r="J140" s="131">
        <v>138</v>
      </c>
      <c r="K140" s="88">
        <v>3.4648700673724733</v>
      </c>
      <c r="L140" s="131">
        <v>53</v>
      </c>
      <c r="M140" s="88">
        <v>2.38</v>
      </c>
      <c r="N140" s="88">
        <v>138</v>
      </c>
      <c r="O140" s="131">
        <v>75</v>
      </c>
      <c r="P140" s="132">
        <v>26</v>
      </c>
      <c r="Q140" s="132">
        <v>21</v>
      </c>
    </row>
    <row r="141" spans="1:17" x14ac:dyDescent="0.25">
      <c r="A141" s="114">
        <v>140</v>
      </c>
      <c r="B141" s="83">
        <v>10.01</v>
      </c>
      <c r="C141" s="92">
        <v>5.4</v>
      </c>
      <c r="D141" s="16">
        <f t="shared" si="5"/>
        <v>1.9420579420579422</v>
      </c>
      <c r="E141" s="16">
        <f t="shared" si="6"/>
        <v>2.4214180747789058</v>
      </c>
      <c r="F141" s="94">
        <v>1.3</v>
      </c>
      <c r="G141" s="102">
        <v>21</v>
      </c>
      <c r="I141" s="88">
        <v>2.327130264446621</v>
      </c>
      <c r="J141" s="131">
        <v>139</v>
      </c>
      <c r="K141" s="88">
        <v>3.4860977948226268</v>
      </c>
      <c r="L141" s="131">
        <v>74</v>
      </c>
      <c r="M141" s="88">
        <v>2.38</v>
      </c>
      <c r="N141" s="88">
        <v>139</v>
      </c>
      <c r="O141" s="131">
        <v>76</v>
      </c>
      <c r="P141" s="132">
        <v>26</v>
      </c>
      <c r="Q141" s="132">
        <v>21</v>
      </c>
    </row>
    <row r="142" spans="1:17" x14ac:dyDescent="0.25">
      <c r="A142" s="114">
        <v>141</v>
      </c>
      <c r="B142" s="83">
        <v>10.28</v>
      </c>
      <c r="C142" s="92">
        <v>6.35</v>
      </c>
      <c r="D142" s="16">
        <f t="shared" si="5"/>
        <v>2.2237354085603114</v>
      </c>
      <c r="E142" s="16">
        <f t="shared" si="6"/>
        <v>2.4214180747789058</v>
      </c>
      <c r="F142" s="94">
        <v>1.2</v>
      </c>
      <c r="G142" s="102">
        <v>21</v>
      </c>
      <c r="I142" s="88">
        <v>1.9420579420579422</v>
      </c>
      <c r="J142" s="131">
        <v>140</v>
      </c>
      <c r="K142" s="88">
        <v>3.5053554040895811</v>
      </c>
      <c r="L142" s="131">
        <v>72</v>
      </c>
      <c r="M142" s="88">
        <v>2.38</v>
      </c>
      <c r="N142" s="88">
        <v>140</v>
      </c>
      <c r="O142" s="131">
        <v>77</v>
      </c>
      <c r="P142" s="132">
        <v>26</v>
      </c>
      <c r="Q142" s="132">
        <v>21</v>
      </c>
    </row>
    <row r="143" spans="1:17" x14ac:dyDescent="0.25">
      <c r="A143" s="114">
        <v>142</v>
      </c>
      <c r="B143" s="83">
        <v>10.38</v>
      </c>
      <c r="C143" s="92">
        <v>5.5</v>
      </c>
      <c r="D143" s="16">
        <f t="shared" si="5"/>
        <v>1.9075144508670518</v>
      </c>
      <c r="E143" s="16">
        <f t="shared" si="6"/>
        <v>2.4214180747789058</v>
      </c>
      <c r="F143" s="94">
        <v>1.3</v>
      </c>
      <c r="G143" s="102">
        <v>21</v>
      </c>
      <c r="I143" s="88">
        <v>2.2237354085603114</v>
      </c>
      <c r="J143" s="131">
        <v>141</v>
      </c>
      <c r="K143" s="88">
        <v>3.5381679389312977</v>
      </c>
      <c r="L143" s="131">
        <v>75</v>
      </c>
      <c r="M143" s="88">
        <v>2.38</v>
      </c>
      <c r="N143" s="88">
        <v>141</v>
      </c>
      <c r="O143" s="131">
        <v>78</v>
      </c>
      <c r="P143" s="132">
        <v>26</v>
      </c>
      <c r="Q143" s="132">
        <v>21</v>
      </c>
    </row>
    <row r="144" spans="1:17" x14ac:dyDescent="0.25">
      <c r="A144" s="114">
        <v>143</v>
      </c>
      <c r="B144" s="83">
        <v>10.38</v>
      </c>
      <c r="C144" s="92">
        <v>7.15</v>
      </c>
      <c r="D144" s="16">
        <f t="shared" si="5"/>
        <v>2.4797687861271673</v>
      </c>
      <c r="E144" s="16">
        <f t="shared" si="6"/>
        <v>2.4214180747789058</v>
      </c>
      <c r="F144" s="94">
        <v>1.2</v>
      </c>
      <c r="G144" s="102">
        <v>21</v>
      </c>
      <c r="I144" s="88">
        <v>1.9075144508670518</v>
      </c>
      <c r="J144" s="131">
        <v>142</v>
      </c>
      <c r="K144" s="88">
        <v>3.6883852691218126</v>
      </c>
      <c r="L144" s="131">
        <v>70</v>
      </c>
      <c r="M144" s="88">
        <v>2.38</v>
      </c>
      <c r="N144" s="88">
        <v>142</v>
      </c>
      <c r="O144" s="131">
        <v>79</v>
      </c>
      <c r="P144" s="132">
        <v>26</v>
      </c>
      <c r="Q144" s="132">
        <v>21</v>
      </c>
    </row>
    <row r="145" spans="1:17" x14ac:dyDescent="0.25">
      <c r="A145" s="114">
        <v>144</v>
      </c>
      <c r="B145" s="83">
        <v>10.6</v>
      </c>
      <c r="C145" s="92">
        <v>5.0999999999999996</v>
      </c>
      <c r="D145" s="16">
        <f t="shared" si="5"/>
        <v>1.7320754716981133</v>
      </c>
      <c r="E145" s="16">
        <f>SUM(AVERAGE($D$2:$D$146))</f>
        <v>2.4214180747789058</v>
      </c>
      <c r="F145" s="94">
        <v>1.2</v>
      </c>
      <c r="G145" s="102">
        <v>21</v>
      </c>
      <c r="I145" s="88">
        <v>2.4797687861271673</v>
      </c>
      <c r="J145" s="131">
        <v>143</v>
      </c>
      <c r="K145" s="88">
        <v>4.0701754385964914</v>
      </c>
      <c r="L145" s="131">
        <v>68</v>
      </c>
      <c r="M145" s="88">
        <v>2.38</v>
      </c>
      <c r="N145" s="88">
        <v>143</v>
      </c>
      <c r="O145" s="131">
        <v>80</v>
      </c>
      <c r="P145" s="132">
        <v>26</v>
      </c>
      <c r="Q145" s="132">
        <v>21</v>
      </c>
    </row>
    <row r="146" spans="1:17" ht="13.8" thickBot="1" x14ac:dyDescent="0.3">
      <c r="A146" s="115">
        <v>145</v>
      </c>
      <c r="B146" s="103">
        <v>10.73</v>
      </c>
      <c r="C146" s="104">
        <v>24.3</v>
      </c>
      <c r="D146" s="105">
        <f t="shared" si="5"/>
        <v>8.1528424976700844</v>
      </c>
      <c r="E146" s="105"/>
      <c r="F146" s="106"/>
      <c r="G146" s="107"/>
      <c r="I146" s="88">
        <v>1.7320754716981133</v>
      </c>
      <c r="J146" s="131">
        <v>144</v>
      </c>
      <c r="K146" s="88">
        <v>4.1484375</v>
      </c>
      <c r="L146" s="131">
        <v>71</v>
      </c>
      <c r="M146" s="88">
        <v>2.38</v>
      </c>
      <c r="N146" s="88">
        <v>144</v>
      </c>
      <c r="O146" s="131">
        <v>81</v>
      </c>
      <c r="P146" s="132">
        <v>26</v>
      </c>
      <c r="Q146" s="132">
        <v>21</v>
      </c>
    </row>
    <row r="147" spans="1:17" ht="13.8" thickBot="1" x14ac:dyDescent="0.3">
      <c r="A147" s="108"/>
      <c r="B147" s="109"/>
      <c r="C147" s="110"/>
      <c r="D147" s="111">
        <f>SUM(D2:D146)</f>
        <v>351.10562084294133</v>
      </c>
      <c r="E147" s="111"/>
      <c r="F147" s="109"/>
      <c r="G147" s="112"/>
    </row>
  </sheetData>
  <mergeCells count="2">
    <mergeCell ref="I1:J1"/>
    <mergeCell ref="K1:L1"/>
  </mergeCells>
  <phoneticPr fontId="0" type="noConversion"/>
  <pageMargins left="0.78740157480314965" right="0.78740157480314965" top="0.98425196850393704" bottom="0.98425196850393704" header="0.51181102362204722" footer="0.51181102362204722"/>
  <pageSetup paperSize="9" scale="53" orientation="portrait" horizontalDpi="4294967294" verticalDpi="144" r:id="rId1"/>
  <headerFooter alignWithMargins="0"/>
  <rowBreaks count="1" manualBreakCount="1">
    <brk id="61" max="16383" man="1"/>
  </rowBreaks>
  <colBreaks count="1" manualBreakCount="1">
    <brk id="12" max="146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660D98-EC19-466B-B05E-1B6BCF9B9990}">
  <sheetPr>
    <tabColor rgb="FFFFC000"/>
  </sheetPr>
  <dimension ref="A1:T60"/>
  <sheetViews>
    <sheetView showGridLines="0" topLeftCell="A10" zoomScale="115" zoomScaleNormal="115" workbookViewId="0">
      <selection activeCell="J36" sqref="J36"/>
    </sheetView>
  </sheetViews>
  <sheetFormatPr defaultRowHeight="13.2" x14ac:dyDescent="0.25"/>
  <cols>
    <col min="1" max="1" width="21.109375" style="1" customWidth="1"/>
    <col min="2" max="2" width="9.109375" style="1" customWidth="1"/>
    <col min="3" max="3" width="17.109375" customWidth="1"/>
    <col min="4" max="4" width="22.88671875" customWidth="1"/>
    <col min="6" max="6" width="9.5546875" bestFit="1" customWidth="1"/>
  </cols>
  <sheetData>
    <row r="1" spans="1:20" x14ac:dyDescent="0.25">
      <c r="A1" s="164" t="s">
        <v>21</v>
      </c>
      <c r="B1" s="165"/>
      <c r="C1" s="165"/>
      <c r="D1" s="166"/>
    </row>
    <row r="2" spans="1:20" x14ac:dyDescent="0.25">
      <c r="A2" s="82" t="s">
        <v>18</v>
      </c>
      <c r="B2" s="82" t="s">
        <v>19</v>
      </c>
      <c r="C2" s="82" t="s">
        <v>20</v>
      </c>
      <c r="D2" s="82" t="s">
        <v>63</v>
      </c>
    </row>
    <row r="3" spans="1:20" x14ac:dyDescent="0.25">
      <c r="A3" s="86">
        <v>1.25</v>
      </c>
      <c r="B3" s="83">
        <v>13.21</v>
      </c>
      <c r="C3" s="16">
        <f>'Tabela de Controle do PC'!$E$8</f>
        <v>6.563699999999999</v>
      </c>
      <c r="D3" s="16">
        <f>'Uniformidade dados'!$P$6</f>
        <v>5.828692307450476</v>
      </c>
      <c r="H3" s="14"/>
      <c r="K3" s="1"/>
    </row>
    <row r="4" spans="1:20" x14ac:dyDescent="0.25">
      <c r="A4" s="86">
        <v>2.5</v>
      </c>
      <c r="B4" s="83">
        <v>12.89</v>
      </c>
      <c r="C4" s="16">
        <f>'Tabela de Controle do PC'!$E$8</f>
        <v>6.563699999999999</v>
      </c>
      <c r="D4" s="16">
        <f>'Uniformidade dados'!$P$6</f>
        <v>5.828692307450476</v>
      </c>
      <c r="H4" s="14"/>
    </row>
    <row r="5" spans="1:20" x14ac:dyDescent="0.25">
      <c r="A5" s="86">
        <v>3.75</v>
      </c>
      <c r="B5" s="83">
        <v>10.029999999999999</v>
      </c>
      <c r="C5" s="16">
        <f>'Tabela de Controle do PC'!$E$8</f>
        <v>6.563699999999999</v>
      </c>
      <c r="D5" s="16">
        <f>'Uniformidade dados'!$P$6</f>
        <v>5.828692307450476</v>
      </c>
      <c r="H5" s="14"/>
    </row>
    <row r="6" spans="1:20" x14ac:dyDescent="0.25">
      <c r="A6" s="86">
        <v>6.25</v>
      </c>
      <c r="B6" s="83">
        <v>9.07</v>
      </c>
      <c r="C6" s="16">
        <f>'Tabela de Controle do PC'!$E$8</f>
        <v>6.563699999999999</v>
      </c>
      <c r="D6" s="16">
        <f>'Uniformidade dados'!$P$6</f>
        <v>5.828692307450476</v>
      </c>
      <c r="H6" s="14"/>
    </row>
    <row r="7" spans="1:20" x14ac:dyDescent="0.25">
      <c r="A7" s="86">
        <v>7.5</v>
      </c>
      <c r="B7" s="83">
        <v>8.59</v>
      </c>
      <c r="C7" s="16">
        <f>'Tabela de Controle do PC'!$E$8</f>
        <v>6.563699999999999</v>
      </c>
      <c r="D7" s="16">
        <f>'Uniformidade dados'!$P$6</f>
        <v>5.828692307450476</v>
      </c>
      <c r="H7" s="14"/>
    </row>
    <row r="8" spans="1:20" x14ac:dyDescent="0.25">
      <c r="A8" s="86">
        <v>8.75</v>
      </c>
      <c r="B8" s="83">
        <v>8.1199999999999992</v>
      </c>
      <c r="C8" s="16">
        <f>'Tabela de Controle do PC'!$E$8</f>
        <v>6.563699999999999</v>
      </c>
      <c r="D8" s="16">
        <f>'Uniformidade dados'!$P$6</f>
        <v>5.828692307450476</v>
      </c>
      <c r="H8" s="14"/>
    </row>
    <row r="9" spans="1:20" x14ac:dyDescent="0.25">
      <c r="A9" s="86">
        <v>10</v>
      </c>
      <c r="B9" s="83">
        <v>7.96</v>
      </c>
      <c r="C9" s="16">
        <f>'Tabela de Controle do PC'!$E$8</f>
        <v>6.563699999999999</v>
      </c>
      <c r="D9" s="16">
        <f>'Uniformidade dados'!$P$6</f>
        <v>5.828692307450476</v>
      </c>
      <c r="H9" s="14"/>
    </row>
    <row r="10" spans="1:20" ht="14.4" x14ac:dyDescent="0.25">
      <c r="A10" s="86">
        <v>11.25</v>
      </c>
      <c r="B10" s="83">
        <v>7.64</v>
      </c>
      <c r="C10" s="16">
        <f>'Tabela de Controle do PC'!$E$8</f>
        <v>6.563699999999999</v>
      </c>
      <c r="D10" s="16">
        <f>'Uniformidade dados'!$P$6</f>
        <v>5.828692307450476</v>
      </c>
      <c r="H10" s="14"/>
      <c r="T10" s="87"/>
    </row>
    <row r="11" spans="1:20" x14ac:dyDescent="0.25">
      <c r="A11" s="86">
        <v>13.75</v>
      </c>
      <c r="B11" s="83">
        <v>7.48</v>
      </c>
      <c r="C11" s="16">
        <f>'Tabela de Controle do PC'!$E$8</f>
        <v>6.563699999999999</v>
      </c>
      <c r="D11" s="16">
        <f>'Uniformidade dados'!$P$6</f>
        <v>5.828692307450476</v>
      </c>
      <c r="H11" s="14"/>
    </row>
    <row r="12" spans="1:20" x14ac:dyDescent="0.25">
      <c r="A12" s="86">
        <v>15</v>
      </c>
      <c r="B12" s="83">
        <v>7.32</v>
      </c>
      <c r="C12" s="16">
        <f>'Tabela de Controle do PC'!$E$8</f>
        <v>6.563699999999999</v>
      </c>
      <c r="D12" s="16">
        <f>'Uniformidade dados'!$P$6</f>
        <v>5.828692307450476</v>
      </c>
      <c r="H12" s="14"/>
    </row>
    <row r="13" spans="1:20" x14ac:dyDescent="0.25">
      <c r="A13" s="86">
        <v>17.5</v>
      </c>
      <c r="B13" s="83">
        <v>7.16</v>
      </c>
      <c r="C13" s="16">
        <f>'Tabela de Controle do PC'!$E$8</f>
        <v>6.563699999999999</v>
      </c>
      <c r="D13" s="16">
        <f>'Uniformidade dados'!$P$6</f>
        <v>5.828692307450476</v>
      </c>
      <c r="H13" s="14"/>
    </row>
    <row r="14" spans="1:20" x14ac:dyDescent="0.25">
      <c r="A14" s="86">
        <v>18.75</v>
      </c>
      <c r="B14" s="83">
        <v>7</v>
      </c>
      <c r="C14" s="16">
        <f>'Tabela de Controle do PC'!$E$8</f>
        <v>6.563699999999999</v>
      </c>
      <c r="D14" s="16">
        <f>'Uniformidade dados'!$P$6</f>
        <v>5.828692307450476</v>
      </c>
      <c r="H14" s="14"/>
    </row>
    <row r="15" spans="1:20" x14ac:dyDescent="0.25">
      <c r="A15" s="86">
        <v>20</v>
      </c>
      <c r="B15" s="83">
        <v>6.84</v>
      </c>
      <c r="C15" s="16">
        <f>'Tabela de Controle do PC'!$E$8</f>
        <v>6.563699999999999</v>
      </c>
      <c r="D15" s="16">
        <f>'Uniformidade dados'!$P$6</f>
        <v>5.828692307450476</v>
      </c>
      <c r="H15" s="14"/>
    </row>
    <row r="16" spans="1:20" x14ac:dyDescent="0.25">
      <c r="A16" s="86">
        <v>21.25</v>
      </c>
      <c r="B16" s="83">
        <v>6.68</v>
      </c>
      <c r="C16" s="16">
        <f>'Tabela de Controle do PC'!$E$8</f>
        <v>6.563699999999999</v>
      </c>
      <c r="D16" s="16">
        <f>'Uniformidade dados'!$P$6</f>
        <v>5.828692307450476</v>
      </c>
      <c r="H16" s="14"/>
    </row>
    <row r="17" spans="1:8" x14ac:dyDescent="0.25">
      <c r="A17" s="86">
        <v>22.5</v>
      </c>
      <c r="B17" s="83">
        <v>6.53</v>
      </c>
      <c r="C17" s="16">
        <f>'Tabela de Controle do PC'!$E$8</f>
        <v>6.563699999999999</v>
      </c>
      <c r="D17" s="16">
        <f>'Uniformidade dados'!$P$6</f>
        <v>5.828692307450476</v>
      </c>
      <c r="H17" s="14"/>
    </row>
    <row r="18" spans="1:8" x14ac:dyDescent="0.25">
      <c r="A18" s="86">
        <v>28.75</v>
      </c>
      <c r="B18" s="83">
        <v>6.37</v>
      </c>
      <c r="C18" s="16">
        <f>'Tabela de Controle do PC'!$E$8</f>
        <v>6.563699999999999</v>
      </c>
      <c r="D18" s="16">
        <f>'Uniformidade dados'!$P$6</f>
        <v>5.828692307450476</v>
      </c>
      <c r="H18" s="14"/>
    </row>
    <row r="19" spans="1:8" x14ac:dyDescent="0.25">
      <c r="A19" s="86">
        <v>36.25</v>
      </c>
      <c r="B19" s="83">
        <v>6.21</v>
      </c>
      <c r="C19" s="16">
        <f>'Tabela de Controle do PC'!$E$8</f>
        <v>6.563699999999999</v>
      </c>
      <c r="D19" s="16">
        <f>'Uniformidade dados'!$P$6</f>
        <v>5.828692307450476</v>
      </c>
      <c r="H19" s="14"/>
    </row>
    <row r="20" spans="1:8" x14ac:dyDescent="0.25">
      <c r="A20" s="84">
        <v>42.5</v>
      </c>
      <c r="B20" s="84">
        <v>6.05</v>
      </c>
      <c r="C20" s="16">
        <f>'Tabela de Controle do PC'!$E$8</f>
        <v>6.563699999999999</v>
      </c>
      <c r="D20" s="16">
        <f>'Uniformidade dados'!$P$6</f>
        <v>5.828692307450476</v>
      </c>
      <c r="H20" s="14"/>
    </row>
    <row r="21" spans="1:8" x14ac:dyDescent="0.25">
      <c r="A21" s="84">
        <v>43.75</v>
      </c>
      <c r="B21" s="84">
        <v>5.89</v>
      </c>
      <c r="C21" s="16">
        <f>'Tabela de Controle do PC'!$E$8</f>
        <v>6.563699999999999</v>
      </c>
      <c r="D21" s="16">
        <f>'Uniformidade dados'!$P$6</f>
        <v>5.828692307450476</v>
      </c>
      <c r="H21" s="14"/>
    </row>
    <row r="22" spans="1:8" x14ac:dyDescent="0.25">
      <c r="A22" s="85">
        <v>50</v>
      </c>
      <c r="B22" s="84">
        <v>5.73</v>
      </c>
      <c r="C22" s="16">
        <f>'Tabela de Controle do PC'!$E$8</f>
        <v>6.563699999999999</v>
      </c>
      <c r="D22" s="16">
        <f>'Uniformidade dados'!$P$6</f>
        <v>5.828692307450476</v>
      </c>
      <c r="H22" s="14"/>
    </row>
    <row r="23" spans="1:8" x14ac:dyDescent="0.25">
      <c r="A23" s="83">
        <v>55</v>
      </c>
      <c r="B23" s="84">
        <v>5.57</v>
      </c>
      <c r="C23" s="16">
        <f>'Tabela de Controle do PC'!$E$8</f>
        <v>6.563699999999999</v>
      </c>
      <c r="D23" s="16">
        <f>'Uniformidade dados'!$P$6</f>
        <v>5.828692307450476</v>
      </c>
      <c r="H23" s="14"/>
    </row>
    <row r="24" spans="1:8" x14ac:dyDescent="0.25">
      <c r="A24" s="83">
        <v>62.5</v>
      </c>
      <c r="B24" s="84">
        <v>5.41</v>
      </c>
      <c r="C24" s="16">
        <f>'Tabela de Controle do PC'!$E$8</f>
        <v>6.563699999999999</v>
      </c>
      <c r="D24" s="16">
        <f>'Uniformidade dados'!$P$6</f>
        <v>5.828692307450476</v>
      </c>
      <c r="H24" s="14"/>
    </row>
    <row r="25" spans="1:8" x14ac:dyDescent="0.25">
      <c r="A25" s="83">
        <v>67.5</v>
      </c>
      <c r="B25" s="84">
        <v>5.25</v>
      </c>
      <c r="C25" s="16">
        <f>'Tabela de Controle do PC'!$E$8</f>
        <v>6.563699999999999</v>
      </c>
      <c r="D25" s="16">
        <f>'Uniformidade dados'!$P$6</f>
        <v>5.828692307450476</v>
      </c>
      <c r="H25" s="14"/>
    </row>
    <row r="26" spans="1:8" x14ac:dyDescent="0.25">
      <c r="A26" s="83">
        <v>75</v>
      </c>
      <c r="B26" s="84">
        <v>5.09</v>
      </c>
      <c r="C26" s="16">
        <f>'Tabela de Controle do PC'!$E$8</f>
        <v>6.563699999999999</v>
      </c>
      <c r="D26" s="16">
        <f>'Uniformidade dados'!$P$6</f>
        <v>5.828692307450476</v>
      </c>
      <c r="H26" s="14"/>
    </row>
    <row r="27" spans="1:8" x14ac:dyDescent="0.25">
      <c r="A27" s="83">
        <v>77.5</v>
      </c>
      <c r="B27" s="83">
        <v>4.93</v>
      </c>
      <c r="C27" s="16">
        <f>'Tabela de Controle do PC'!$E$8</f>
        <v>6.563699999999999</v>
      </c>
      <c r="D27" s="16">
        <f>'Uniformidade dados'!$P$6</f>
        <v>5.828692307450476</v>
      </c>
      <c r="H27" s="14"/>
    </row>
    <row r="28" spans="1:8" x14ac:dyDescent="0.25">
      <c r="A28" s="83">
        <v>85</v>
      </c>
      <c r="B28" s="83">
        <v>4.7699999999999996</v>
      </c>
      <c r="C28" s="16">
        <f>'Tabela de Controle do PC'!$E$8</f>
        <v>6.563699999999999</v>
      </c>
      <c r="D28" s="16">
        <f>'Uniformidade dados'!$P$6</f>
        <v>5.828692307450476</v>
      </c>
      <c r="H28" s="14"/>
    </row>
    <row r="29" spans="1:8" x14ac:dyDescent="0.25">
      <c r="A29" s="83">
        <v>88.75</v>
      </c>
      <c r="B29" s="83">
        <v>4.46</v>
      </c>
      <c r="C29" s="16">
        <f>'Tabela de Controle do PC'!$E$8</f>
        <v>6.563699999999999</v>
      </c>
      <c r="D29" s="16">
        <f>'Uniformidade dados'!$P$6</f>
        <v>5.828692307450476</v>
      </c>
      <c r="H29" s="14"/>
    </row>
    <row r="30" spans="1:8" x14ac:dyDescent="0.25">
      <c r="A30" s="83">
        <v>91.25</v>
      </c>
      <c r="B30" s="83">
        <v>4.42</v>
      </c>
      <c r="C30" s="16">
        <f>'Tabela de Controle do PC'!$E$8</f>
        <v>6.563699999999999</v>
      </c>
      <c r="D30" s="16">
        <f>'Uniformidade dados'!$P$6</f>
        <v>5.828692307450476</v>
      </c>
      <c r="H30" s="14"/>
    </row>
    <row r="31" spans="1:8" x14ac:dyDescent="0.25">
      <c r="A31" s="83">
        <v>93.75</v>
      </c>
      <c r="B31" s="83">
        <v>3.82</v>
      </c>
      <c r="C31" s="16">
        <f>'Tabela de Controle do PC'!$E$8</f>
        <v>6.563699999999999</v>
      </c>
      <c r="D31" s="16">
        <f>'Uniformidade dados'!$P$6</f>
        <v>5.828692307450476</v>
      </c>
      <c r="H31" s="14"/>
    </row>
    <row r="32" spans="1:8" x14ac:dyDescent="0.25">
      <c r="A32" s="83">
        <v>96.25</v>
      </c>
      <c r="B32" s="83">
        <v>3.18</v>
      </c>
      <c r="C32" s="16">
        <f>'Tabela de Controle do PC'!$E$8</f>
        <v>6.563699999999999</v>
      </c>
      <c r="D32" s="16">
        <f>'Uniformidade dados'!$P$6</f>
        <v>5.828692307450476</v>
      </c>
      <c r="H32" s="14"/>
    </row>
    <row r="33" spans="1:8" x14ac:dyDescent="0.25">
      <c r="A33" s="83">
        <v>97.5</v>
      </c>
      <c r="B33" s="83">
        <v>1.27</v>
      </c>
      <c r="C33" s="16">
        <f>'Tabela de Controle do PC'!$E$8</f>
        <v>6.563699999999999</v>
      </c>
      <c r="D33" s="16">
        <f>'Uniformidade dados'!$P$6</f>
        <v>5.828692307450476</v>
      </c>
      <c r="H33" s="14"/>
    </row>
    <row r="34" spans="1:8" x14ac:dyDescent="0.25">
      <c r="A34" s="83">
        <v>98.75</v>
      </c>
      <c r="B34" s="83">
        <v>0.64</v>
      </c>
      <c r="C34" s="16">
        <f>'Tabela de Controle do PC'!$E$8</f>
        <v>6.563699999999999</v>
      </c>
      <c r="D34" s="16">
        <f>'Uniformidade dados'!$P$6</f>
        <v>5.828692307450476</v>
      </c>
      <c r="H34" s="14"/>
    </row>
    <row r="35" spans="1:8" x14ac:dyDescent="0.25">
      <c r="A35" s="83">
        <v>100</v>
      </c>
      <c r="B35" s="83">
        <v>0</v>
      </c>
      <c r="C35" s="16">
        <f>'Tabela de Controle do PC'!$E$8</f>
        <v>6.563699999999999</v>
      </c>
      <c r="D35" s="16">
        <f>'Uniformidade dados'!$P$6</f>
        <v>5.828692307450476</v>
      </c>
      <c r="H35" s="14"/>
    </row>
    <row r="36" spans="1:8" x14ac:dyDescent="0.25">
      <c r="A36" s="15"/>
      <c r="B36" s="14"/>
      <c r="C36" s="14"/>
      <c r="D36" s="15"/>
      <c r="H36" s="14"/>
    </row>
    <row r="37" spans="1:8" x14ac:dyDescent="0.25">
      <c r="A37" s="15">
        <f>A26-A19</f>
        <v>38.75</v>
      </c>
      <c r="B37" s="14"/>
      <c r="C37" s="14"/>
      <c r="D37" s="15">
        <f>100-36.25-38.75</f>
        <v>25</v>
      </c>
      <c r="H37" s="14"/>
    </row>
    <row r="38" spans="1:8" x14ac:dyDescent="0.25">
      <c r="A38" s="15"/>
      <c r="B38" s="14"/>
      <c r="C38" s="14"/>
      <c r="D38" s="15"/>
      <c r="H38" s="14"/>
    </row>
    <row r="39" spans="1:8" x14ac:dyDescent="0.25">
      <c r="B39" s="14"/>
      <c r="C39" s="14"/>
      <c r="D39" s="15"/>
      <c r="H39" s="14"/>
    </row>
    <row r="40" spans="1:8" x14ac:dyDescent="0.25">
      <c r="B40" s="14"/>
      <c r="C40" s="14"/>
      <c r="D40" s="15"/>
      <c r="H40" s="14"/>
    </row>
    <row r="41" spans="1:8" x14ac:dyDescent="0.25">
      <c r="B41" s="14"/>
      <c r="C41" s="14"/>
      <c r="D41" s="15"/>
      <c r="H41" s="14"/>
    </row>
    <row r="42" spans="1:8" x14ac:dyDescent="0.25">
      <c r="B42" s="14"/>
      <c r="C42" s="14"/>
      <c r="D42" s="15"/>
      <c r="H42" s="14"/>
    </row>
    <row r="43" spans="1:8" x14ac:dyDescent="0.25">
      <c r="B43" s="14"/>
      <c r="C43" s="14"/>
      <c r="D43" s="15"/>
      <c r="H43" s="14"/>
    </row>
    <row r="44" spans="1:8" x14ac:dyDescent="0.25">
      <c r="B44" s="14"/>
      <c r="C44" s="14"/>
      <c r="D44" s="15"/>
      <c r="H44" s="14"/>
    </row>
    <row r="45" spans="1:8" x14ac:dyDescent="0.25">
      <c r="B45" s="14"/>
      <c r="C45" s="14"/>
      <c r="D45" s="15"/>
      <c r="H45" s="14"/>
    </row>
    <row r="46" spans="1:8" x14ac:dyDescent="0.25">
      <c r="B46" s="14"/>
      <c r="C46" s="14"/>
      <c r="D46" s="15"/>
      <c r="H46" s="14"/>
    </row>
    <row r="47" spans="1:8" x14ac:dyDescent="0.25">
      <c r="B47" s="14"/>
      <c r="C47" s="14"/>
      <c r="D47" s="15"/>
      <c r="H47" s="14"/>
    </row>
    <row r="48" spans="1:8" x14ac:dyDescent="0.25">
      <c r="B48" s="14"/>
      <c r="C48" s="14"/>
      <c r="D48" s="15"/>
      <c r="H48" s="14"/>
    </row>
    <row r="49" spans="2:8" x14ac:dyDescent="0.25">
      <c r="B49" s="14"/>
      <c r="C49" s="14"/>
      <c r="D49" s="15"/>
      <c r="H49" s="14"/>
    </row>
    <row r="50" spans="2:8" x14ac:dyDescent="0.25">
      <c r="B50" s="14"/>
      <c r="C50" s="14"/>
      <c r="D50" s="15"/>
      <c r="H50" s="14"/>
    </row>
    <row r="51" spans="2:8" x14ac:dyDescent="0.25">
      <c r="B51" s="14"/>
      <c r="C51" s="14"/>
      <c r="D51" s="15"/>
      <c r="H51" s="14"/>
    </row>
    <row r="52" spans="2:8" x14ac:dyDescent="0.25">
      <c r="B52" s="14"/>
      <c r="C52" s="14"/>
      <c r="D52" s="15"/>
      <c r="H52" s="14"/>
    </row>
    <row r="53" spans="2:8" x14ac:dyDescent="0.25">
      <c r="B53" s="14"/>
      <c r="C53" s="14"/>
      <c r="D53" s="15"/>
      <c r="H53" s="14"/>
    </row>
    <row r="54" spans="2:8" x14ac:dyDescent="0.25">
      <c r="H54" s="14"/>
    </row>
    <row r="55" spans="2:8" x14ac:dyDescent="0.25">
      <c r="H55" s="14"/>
    </row>
    <row r="56" spans="2:8" x14ac:dyDescent="0.25">
      <c r="H56" s="14"/>
    </row>
    <row r="57" spans="2:8" x14ac:dyDescent="0.25">
      <c r="H57" s="14"/>
    </row>
    <row r="58" spans="2:8" x14ac:dyDescent="0.25">
      <c r="H58" s="14"/>
    </row>
    <row r="59" spans="2:8" x14ac:dyDescent="0.25">
      <c r="H59" s="14"/>
    </row>
    <row r="60" spans="2:8" x14ac:dyDescent="0.25">
      <c r="H60" s="14"/>
    </row>
  </sheetData>
  <mergeCells count="1">
    <mergeCell ref="A1:D1"/>
  </mergeCells>
  <phoneticPr fontId="0" type="noConversion"/>
  <pageMargins left="0.78740157499999996" right="0.78740157499999996" top="0.984251969" bottom="0.984251969" header="0.49212598499999999" footer="0.49212598499999999"/>
  <pageSetup paperSize="9" scale="89" orientation="portrait" horizontalDpi="4294967294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DE47E4-BA93-40D4-BC34-DDE375527D24}">
  <dimension ref="A1"/>
  <sheetViews>
    <sheetView workbookViewId="0"/>
  </sheetViews>
  <sheetFormatPr defaultRowHeight="13.2" x14ac:dyDescent="0.25"/>
  <sheetData/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9431D-CC21-4AF5-B870-232356F1C365}">
  <sheetPr>
    <tabColor rgb="FFFFC000"/>
  </sheetPr>
  <dimension ref="A1:E104"/>
  <sheetViews>
    <sheetView showGridLines="0" view="pageBreakPreview" zoomScale="60" zoomScaleNormal="60" workbookViewId="0">
      <selection activeCell="I105" sqref="I105"/>
    </sheetView>
  </sheetViews>
  <sheetFormatPr defaultColWidth="9.109375" defaultRowHeight="20.399999999999999" x14ac:dyDescent="0.35"/>
  <cols>
    <col min="1" max="1" width="9.109375" style="5"/>
    <col min="2" max="2" width="34.33203125" style="5" customWidth="1"/>
    <col min="3" max="3" width="44" style="5" customWidth="1"/>
    <col min="4" max="4" width="31.33203125" style="5" customWidth="1"/>
    <col min="5" max="5" width="33.6640625" style="5" customWidth="1"/>
    <col min="6" max="6" width="9.109375" style="5"/>
    <col min="7" max="7" width="19.88671875" style="5" customWidth="1"/>
    <col min="8" max="16384" width="9.109375" style="5"/>
  </cols>
  <sheetData>
    <row r="1" spans="1:5" ht="21" thickBot="1" x14ac:dyDescent="0.4">
      <c r="A1" s="175" t="s">
        <v>69</v>
      </c>
      <c r="B1" s="176"/>
      <c r="C1" s="176"/>
      <c r="D1" s="176"/>
      <c r="E1" s="176"/>
    </row>
    <row r="2" spans="1:5" ht="21" thickBot="1" x14ac:dyDescent="0.4">
      <c r="A2" s="175" t="s">
        <v>68</v>
      </c>
      <c r="B2" s="176"/>
      <c r="C2" s="176"/>
      <c r="D2" s="176"/>
      <c r="E2" s="174"/>
    </row>
    <row r="3" spans="1:5" ht="21" x14ac:dyDescent="0.4">
      <c r="A3" s="173" t="s">
        <v>26</v>
      </c>
      <c r="B3" s="158"/>
      <c r="C3" s="21"/>
      <c r="D3" s="22"/>
      <c r="E3" s="30">
        <v>374</v>
      </c>
    </row>
    <row r="4" spans="1:5" ht="21" x14ac:dyDescent="0.4">
      <c r="A4" s="169" t="s">
        <v>27</v>
      </c>
      <c r="B4" s="170"/>
      <c r="C4" s="23"/>
      <c r="D4" s="24"/>
      <c r="E4" s="31">
        <v>351</v>
      </c>
    </row>
    <row r="5" spans="1:5" ht="21" x14ac:dyDescent="0.4">
      <c r="A5" s="169" t="s">
        <v>28</v>
      </c>
      <c r="B5" s="170"/>
      <c r="C5" s="23"/>
      <c r="D5" s="24"/>
      <c r="E5" s="32">
        <v>250</v>
      </c>
    </row>
    <row r="6" spans="1:5" ht="21" x14ac:dyDescent="0.4">
      <c r="A6" s="169" t="s">
        <v>29</v>
      </c>
      <c r="B6" s="170"/>
      <c r="C6" s="23"/>
      <c r="D6" s="24"/>
      <c r="E6" s="33">
        <v>400</v>
      </c>
    </row>
    <row r="7" spans="1:5" ht="21" x14ac:dyDescent="0.4">
      <c r="A7" s="169" t="s">
        <v>34</v>
      </c>
      <c r="B7" s="170"/>
      <c r="C7" s="23"/>
      <c r="D7" s="24"/>
      <c r="E7" s="17">
        <f>(2*3.1416*E3)/E5</f>
        <v>9.3996671999999997</v>
      </c>
    </row>
    <row r="8" spans="1:5" ht="21" x14ac:dyDescent="0.4">
      <c r="A8" s="169" t="s">
        <v>35</v>
      </c>
      <c r="B8" s="170"/>
      <c r="C8" s="23"/>
      <c r="D8" s="24"/>
      <c r="E8" s="17">
        <f>(E7*E4)/(10*((3.1416*E6^2)/10000))</f>
        <v>6.563699999999999</v>
      </c>
    </row>
    <row r="9" spans="1:5" ht="21" x14ac:dyDescent="0.4">
      <c r="A9" s="169" t="s">
        <v>47</v>
      </c>
      <c r="B9" s="171"/>
      <c r="C9" s="29"/>
      <c r="E9" s="17">
        <v>3.8</v>
      </c>
    </row>
    <row r="10" spans="1:5" ht="21" x14ac:dyDescent="0.4">
      <c r="A10" s="169" t="s">
        <v>48</v>
      </c>
      <c r="B10" s="171"/>
      <c r="C10" s="27"/>
      <c r="D10" s="28"/>
      <c r="E10" s="17">
        <f>'Uniformidade dados'!P24</f>
        <v>88.801930427205349</v>
      </c>
    </row>
    <row r="11" spans="1:5" ht="21.6" thickBot="1" x14ac:dyDescent="0.45">
      <c r="A11" s="167" t="s">
        <v>46</v>
      </c>
      <c r="B11" s="172"/>
      <c r="C11" s="25"/>
      <c r="D11" s="26"/>
      <c r="E11" s="18">
        <f>'Uniformidade dados'!P12</f>
        <v>77.484376199759893</v>
      </c>
    </row>
    <row r="12" spans="1:5" ht="21" thickBot="1" x14ac:dyDescent="0.4">
      <c r="A12" s="175" t="s">
        <v>30</v>
      </c>
      <c r="B12" s="177"/>
      <c r="C12" s="20" t="s">
        <v>36</v>
      </c>
      <c r="D12" s="12" t="s">
        <v>24</v>
      </c>
      <c r="E12" s="137" t="s">
        <v>25</v>
      </c>
    </row>
    <row r="13" spans="1:5" x14ac:dyDescent="0.35">
      <c r="A13" s="173">
        <v>10</v>
      </c>
      <c r="B13" s="158"/>
      <c r="C13" s="133">
        <f t="shared" ref="C13:C44" si="0">(A13/100)*$E$5</f>
        <v>25</v>
      </c>
      <c r="D13" s="142">
        <f t="shared" ref="D13:D44" si="1">($E$7*100)/A13</f>
        <v>93.996672000000004</v>
      </c>
      <c r="E13" s="138">
        <f t="shared" ref="E13:E44" si="2">($E$8*100)/A13</f>
        <v>65.636999999999986</v>
      </c>
    </row>
    <row r="14" spans="1:5" x14ac:dyDescent="0.35">
      <c r="A14" s="169">
        <v>11</v>
      </c>
      <c r="B14" s="170"/>
      <c r="C14" s="134">
        <f t="shared" si="0"/>
        <v>27.5</v>
      </c>
      <c r="D14" s="143">
        <f t="shared" si="1"/>
        <v>85.451520000000002</v>
      </c>
      <c r="E14" s="139">
        <f t="shared" si="2"/>
        <v>59.669999999999987</v>
      </c>
    </row>
    <row r="15" spans="1:5" x14ac:dyDescent="0.35">
      <c r="A15" s="169">
        <v>12</v>
      </c>
      <c r="B15" s="170"/>
      <c r="C15" s="134">
        <f t="shared" si="0"/>
        <v>30</v>
      </c>
      <c r="D15" s="143">
        <f t="shared" si="1"/>
        <v>78.330560000000006</v>
      </c>
      <c r="E15" s="139">
        <f t="shared" si="2"/>
        <v>54.697499999999991</v>
      </c>
    </row>
    <row r="16" spans="1:5" x14ac:dyDescent="0.35">
      <c r="A16" s="169">
        <v>13</v>
      </c>
      <c r="B16" s="170"/>
      <c r="C16" s="134">
        <f t="shared" si="0"/>
        <v>32.5</v>
      </c>
      <c r="D16" s="143">
        <f t="shared" si="1"/>
        <v>72.305132307692304</v>
      </c>
      <c r="E16" s="139">
        <f t="shared" si="2"/>
        <v>50.489999999999995</v>
      </c>
    </row>
    <row r="17" spans="1:5" x14ac:dyDescent="0.35">
      <c r="A17" s="169">
        <v>14</v>
      </c>
      <c r="B17" s="170"/>
      <c r="C17" s="134">
        <f t="shared" si="0"/>
        <v>35</v>
      </c>
      <c r="D17" s="143">
        <f t="shared" si="1"/>
        <v>67.140479999999997</v>
      </c>
      <c r="E17" s="139">
        <f t="shared" si="2"/>
        <v>46.883571428571422</v>
      </c>
    </row>
    <row r="18" spans="1:5" x14ac:dyDescent="0.35">
      <c r="A18" s="169">
        <v>15</v>
      </c>
      <c r="B18" s="170"/>
      <c r="C18" s="134">
        <f t="shared" si="0"/>
        <v>37.5</v>
      </c>
      <c r="D18" s="143">
        <f t="shared" si="1"/>
        <v>62.664448</v>
      </c>
      <c r="E18" s="139">
        <f t="shared" si="2"/>
        <v>43.757999999999996</v>
      </c>
    </row>
    <row r="19" spans="1:5" x14ac:dyDescent="0.35">
      <c r="A19" s="169">
        <v>16</v>
      </c>
      <c r="B19" s="170"/>
      <c r="C19" s="134">
        <f t="shared" si="0"/>
        <v>40</v>
      </c>
      <c r="D19" s="143">
        <f t="shared" si="1"/>
        <v>58.747920000000001</v>
      </c>
      <c r="E19" s="139">
        <f t="shared" si="2"/>
        <v>41.023124999999993</v>
      </c>
    </row>
    <row r="20" spans="1:5" x14ac:dyDescent="0.35">
      <c r="A20" s="169">
        <v>17</v>
      </c>
      <c r="B20" s="170"/>
      <c r="C20" s="134">
        <f t="shared" si="0"/>
        <v>42.5</v>
      </c>
      <c r="D20" s="143">
        <f t="shared" si="1"/>
        <v>55.292160000000003</v>
      </c>
      <c r="E20" s="139">
        <f t="shared" si="2"/>
        <v>38.609999999999992</v>
      </c>
    </row>
    <row r="21" spans="1:5" x14ac:dyDescent="0.35">
      <c r="A21" s="169">
        <v>18</v>
      </c>
      <c r="B21" s="170"/>
      <c r="C21" s="134">
        <f t="shared" si="0"/>
        <v>45</v>
      </c>
      <c r="D21" s="143">
        <f t="shared" si="1"/>
        <v>52.220373333333335</v>
      </c>
      <c r="E21" s="139">
        <f t="shared" si="2"/>
        <v>36.464999999999996</v>
      </c>
    </row>
    <row r="22" spans="1:5" x14ac:dyDescent="0.35">
      <c r="A22" s="169">
        <v>19</v>
      </c>
      <c r="B22" s="170"/>
      <c r="C22" s="134">
        <f t="shared" si="0"/>
        <v>47.5</v>
      </c>
      <c r="D22" s="143">
        <f t="shared" si="1"/>
        <v>49.471932631578944</v>
      </c>
      <c r="E22" s="139">
        <f t="shared" si="2"/>
        <v>34.545789473684202</v>
      </c>
    </row>
    <row r="23" spans="1:5" x14ac:dyDescent="0.35">
      <c r="A23" s="169">
        <v>20</v>
      </c>
      <c r="B23" s="170"/>
      <c r="C23" s="134">
        <f t="shared" si="0"/>
        <v>50</v>
      </c>
      <c r="D23" s="143">
        <f t="shared" si="1"/>
        <v>46.998336000000002</v>
      </c>
      <c r="E23" s="139">
        <f t="shared" si="2"/>
        <v>32.818499999999993</v>
      </c>
    </row>
    <row r="24" spans="1:5" x14ac:dyDescent="0.35">
      <c r="A24" s="169">
        <v>21</v>
      </c>
      <c r="B24" s="170"/>
      <c r="C24" s="134">
        <f t="shared" si="0"/>
        <v>52.5</v>
      </c>
      <c r="D24" s="143">
        <f t="shared" si="1"/>
        <v>44.76032</v>
      </c>
      <c r="E24" s="139">
        <f t="shared" si="2"/>
        <v>31.25571428571428</v>
      </c>
    </row>
    <row r="25" spans="1:5" x14ac:dyDescent="0.35">
      <c r="A25" s="169">
        <v>22</v>
      </c>
      <c r="B25" s="170"/>
      <c r="C25" s="134">
        <f t="shared" si="0"/>
        <v>55</v>
      </c>
      <c r="D25" s="143">
        <f t="shared" si="1"/>
        <v>42.725760000000001</v>
      </c>
      <c r="E25" s="139">
        <f t="shared" si="2"/>
        <v>29.834999999999994</v>
      </c>
    </row>
    <row r="26" spans="1:5" x14ac:dyDescent="0.35">
      <c r="A26" s="169">
        <v>23</v>
      </c>
      <c r="B26" s="170"/>
      <c r="C26" s="134">
        <f t="shared" si="0"/>
        <v>57.5</v>
      </c>
      <c r="D26" s="143">
        <f t="shared" si="1"/>
        <v>40.868118260869565</v>
      </c>
      <c r="E26" s="139">
        <f t="shared" si="2"/>
        <v>28.537826086956517</v>
      </c>
    </row>
    <row r="27" spans="1:5" x14ac:dyDescent="0.35">
      <c r="A27" s="169">
        <v>24</v>
      </c>
      <c r="B27" s="170"/>
      <c r="C27" s="134">
        <f t="shared" si="0"/>
        <v>60</v>
      </c>
      <c r="D27" s="143">
        <f t="shared" si="1"/>
        <v>39.165280000000003</v>
      </c>
      <c r="E27" s="139">
        <f t="shared" si="2"/>
        <v>27.348749999999995</v>
      </c>
    </row>
    <row r="28" spans="1:5" x14ac:dyDescent="0.35">
      <c r="A28" s="169">
        <v>25</v>
      </c>
      <c r="B28" s="170"/>
      <c r="C28" s="134">
        <f t="shared" si="0"/>
        <v>62.5</v>
      </c>
      <c r="D28" s="143">
        <f t="shared" si="1"/>
        <v>37.598668799999999</v>
      </c>
      <c r="E28" s="139">
        <f t="shared" si="2"/>
        <v>26.254799999999996</v>
      </c>
    </row>
    <row r="29" spans="1:5" x14ac:dyDescent="0.35">
      <c r="A29" s="169">
        <v>26</v>
      </c>
      <c r="B29" s="170"/>
      <c r="C29" s="134">
        <f t="shared" si="0"/>
        <v>65</v>
      </c>
      <c r="D29" s="143">
        <f t="shared" si="1"/>
        <v>36.152566153846152</v>
      </c>
      <c r="E29" s="139">
        <f t="shared" si="2"/>
        <v>25.244999999999997</v>
      </c>
    </row>
    <row r="30" spans="1:5" x14ac:dyDescent="0.35">
      <c r="A30" s="169">
        <v>27</v>
      </c>
      <c r="B30" s="170"/>
      <c r="C30" s="134">
        <f t="shared" si="0"/>
        <v>67.5</v>
      </c>
      <c r="D30" s="143">
        <f t="shared" si="1"/>
        <v>34.813582222222223</v>
      </c>
      <c r="E30" s="139">
        <f t="shared" si="2"/>
        <v>24.309999999999995</v>
      </c>
    </row>
    <row r="31" spans="1:5" x14ac:dyDescent="0.35">
      <c r="A31" s="169">
        <v>28</v>
      </c>
      <c r="B31" s="170"/>
      <c r="C31" s="134">
        <f t="shared" si="0"/>
        <v>70</v>
      </c>
      <c r="D31" s="143">
        <f t="shared" si="1"/>
        <v>33.570239999999998</v>
      </c>
      <c r="E31" s="139">
        <f t="shared" si="2"/>
        <v>23.441785714285711</v>
      </c>
    </row>
    <row r="32" spans="1:5" x14ac:dyDescent="0.35">
      <c r="A32" s="169">
        <v>29</v>
      </c>
      <c r="B32" s="170"/>
      <c r="C32" s="134">
        <f t="shared" si="0"/>
        <v>72.5</v>
      </c>
      <c r="D32" s="143">
        <f t="shared" si="1"/>
        <v>32.41264551724138</v>
      </c>
      <c r="E32" s="139">
        <f t="shared" si="2"/>
        <v>22.633448275862065</v>
      </c>
    </row>
    <row r="33" spans="1:5" x14ac:dyDescent="0.35">
      <c r="A33" s="169">
        <v>30</v>
      </c>
      <c r="B33" s="170"/>
      <c r="C33" s="134">
        <f t="shared" si="0"/>
        <v>75</v>
      </c>
      <c r="D33" s="143">
        <f t="shared" si="1"/>
        <v>31.332224</v>
      </c>
      <c r="E33" s="139">
        <f t="shared" si="2"/>
        <v>21.878999999999998</v>
      </c>
    </row>
    <row r="34" spans="1:5" x14ac:dyDescent="0.35">
      <c r="A34" s="169">
        <v>31</v>
      </c>
      <c r="B34" s="170"/>
      <c r="C34" s="134">
        <f t="shared" si="0"/>
        <v>77.5</v>
      </c>
      <c r="D34" s="143">
        <f t="shared" si="1"/>
        <v>30.321507096774194</v>
      </c>
      <c r="E34" s="139">
        <f t="shared" si="2"/>
        <v>21.173225806451608</v>
      </c>
    </row>
    <row r="35" spans="1:5" x14ac:dyDescent="0.35">
      <c r="A35" s="169">
        <v>32</v>
      </c>
      <c r="B35" s="170"/>
      <c r="C35" s="134">
        <f t="shared" si="0"/>
        <v>80</v>
      </c>
      <c r="D35" s="143">
        <f t="shared" si="1"/>
        <v>29.37396</v>
      </c>
      <c r="E35" s="139">
        <f t="shared" si="2"/>
        <v>20.511562499999997</v>
      </c>
    </row>
    <row r="36" spans="1:5" x14ac:dyDescent="0.35">
      <c r="A36" s="169">
        <v>33</v>
      </c>
      <c r="B36" s="170"/>
      <c r="C36" s="134">
        <f t="shared" si="0"/>
        <v>82.5</v>
      </c>
      <c r="D36" s="143">
        <f t="shared" si="1"/>
        <v>28.483840000000001</v>
      </c>
      <c r="E36" s="139">
        <f t="shared" si="2"/>
        <v>19.889999999999997</v>
      </c>
    </row>
    <row r="37" spans="1:5" x14ac:dyDescent="0.35">
      <c r="A37" s="169">
        <v>34</v>
      </c>
      <c r="B37" s="170"/>
      <c r="C37" s="134">
        <f t="shared" si="0"/>
        <v>85</v>
      </c>
      <c r="D37" s="143">
        <f t="shared" si="1"/>
        <v>27.646080000000001</v>
      </c>
      <c r="E37" s="139">
        <f t="shared" si="2"/>
        <v>19.304999999999996</v>
      </c>
    </row>
    <row r="38" spans="1:5" x14ac:dyDescent="0.35">
      <c r="A38" s="169">
        <v>35</v>
      </c>
      <c r="B38" s="170"/>
      <c r="C38" s="134">
        <f t="shared" si="0"/>
        <v>87.5</v>
      </c>
      <c r="D38" s="143">
        <f t="shared" si="1"/>
        <v>26.856192</v>
      </c>
      <c r="E38" s="139">
        <f t="shared" si="2"/>
        <v>18.753428571428568</v>
      </c>
    </row>
    <row r="39" spans="1:5" x14ac:dyDescent="0.35">
      <c r="A39" s="169">
        <v>36</v>
      </c>
      <c r="B39" s="170"/>
      <c r="C39" s="134">
        <f t="shared" si="0"/>
        <v>90</v>
      </c>
      <c r="D39" s="143">
        <f t="shared" si="1"/>
        <v>26.110186666666667</v>
      </c>
      <c r="E39" s="139">
        <f t="shared" si="2"/>
        <v>18.232499999999998</v>
      </c>
    </row>
    <row r="40" spans="1:5" x14ac:dyDescent="0.35">
      <c r="A40" s="169">
        <v>37</v>
      </c>
      <c r="B40" s="170"/>
      <c r="C40" s="134">
        <f t="shared" si="0"/>
        <v>92.5</v>
      </c>
      <c r="D40" s="143">
        <f t="shared" si="1"/>
        <v>25.404505945945946</v>
      </c>
      <c r="E40" s="139">
        <f t="shared" si="2"/>
        <v>17.739729729729728</v>
      </c>
    </row>
    <row r="41" spans="1:5" x14ac:dyDescent="0.35">
      <c r="A41" s="169">
        <v>38</v>
      </c>
      <c r="B41" s="170"/>
      <c r="C41" s="134">
        <f t="shared" si="0"/>
        <v>95</v>
      </c>
      <c r="D41" s="143">
        <f t="shared" si="1"/>
        <v>24.735966315789472</v>
      </c>
      <c r="E41" s="139">
        <f t="shared" si="2"/>
        <v>17.272894736842101</v>
      </c>
    </row>
    <row r="42" spans="1:5" x14ac:dyDescent="0.35">
      <c r="A42" s="169">
        <v>39</v>
      </c>
      <c r="B42" s="170"/>
      <c r="C42" s="134">
        <f t="shared" si="0"/>
        <v>97.5</v>
      </c>
      <c r="D42" s="143">
        <f t="shared" si="1"/>
        <v>24.10171076923077</v>
      </c>
      <c r="E42" s="139">
        <f t="shared" si="2"/>
        <v>16.829999999999998</v>
      </c>
    </row>
    <row r="43" spans="1:5" x14ac:dyDescent="0.35">
      <c r="A43" s="169">
        <v>40</v>
      </c>
      <c r="B43" s="170"/>
      <c r="C43" s="134">
        <f t="shared" si="0"/>
        <v>100</v>
      </c>
      <c r="D43" s="143">
        <f t="shared" si="1"/>
        <v>23.499168000000001</v>
      </c>
      <c r="E43" s="139">
        <f t="shared" si="2"/>
        <v>16.409249999999997</v>
      </c>
    </row>
    <row r="44" spans="1:5" x14ac:dyDescent="0.35">
      <c r="A44" s="169">
        <v>41</v>
      </c>
      <c r="B44" s="170"/>
      <c r="C44" s="134">
        <f t="shared" si="0"/>
        <v>102.5</v>
      </c>
      <c r="D44" s="143">
        <f t="shared" si="1"/>
        <v>22.926017560975609</v>
      </c>
      <c r="E44" s="139">
        <f t="shared" si="2"/>
        <v>16.009024390243901</v>
      </c>
    </row>
    <row r="45" spans="1:5" x14ac:dyDescent="0.35">
      <c r="A45" s="169">
        <v>42</v>
      </c>
      <c r="B45" s="170"/>
      <c r="C45" s="134">
        <f t="shared" ref="C45:C76" si="3">(A45/100)*$E$5</f>
        <v>105</v>
      </c>
      <c r="D45" s="143">
        <f t="shared" ref="D45:D76" si="4">($E$7*100)/A45</f>
        <v>22.38016</v>
      </c>
      <c r="E45" s="139">
        <f t="shared" ref="E45:E76" si="5">($E$8*100)/A45</f>
        <v>15.62785714285714</v>
      </c>
    </row>
    <row r="46" spans="1:5" x14ac:dyDescent="0.35">
      <c r="A46" s="169">
        <v>43</v>
      </c>
      <c r="B46" s="170"/>
      <c r="C46" s="134">
        <f t="shared" si="3"/>
        <v>107.5</v>
      </c>
      <c r="D46" s="143">
        <f t="shared" si="4"/>
        <v>21.859691162790696</v>
      </c>
      <c r="E46" s="139">
        <f t="shared" si="5"/>
        <v>15.26441860465116</v>
      </c>
    </row>
    <row r="47" spans="1:5" x14ac:dyDescent="0.35">
      <c r="A47" s="169">
        <v>44</v>
      </c>
      <c r="B47" s="170"/>
      <c r="C47" s="134">
        <f t="shared" si="3"/>
        <v>110</v>
      </c>
      <c r="D47" s="143">
        <f t="shared" si="4"/>
        <v>21.362880000000001</v>
      </c>
      <c r="E47" s="139">
        <f t="shared" si="5"/>
        <v>14.917499999999997</v>
      </c>
    </row>
    <row r="48" spans="1:5" x14ac:dyDescent="0.35">
      <c r="A48" s="169">
        <v>45</v>
      </c>
      <c r="B48" s="170"/>
      <c r="C48" s="134">
        <f t="shared" si="3"/>
        <v>112.5</v>
      </c>
      <c r="D48" s="143">
        <f t="shared" si="4"/>
        <v>20.888149333333335</v>
      </c>
      <c r="E48" s="139">
        <f t="shared" si="5"/>
        <v>14.585999999999997</v>
      </c>
    </row>
    <row r="49" spans="1:5" x14ac:dyDescent="0.35">
      <c r="A49" s="169">
        <v>46</v>
      </c>
      <c r="B49" s="170"/>
      <c r="C49" s="134">
        <f t="shared" si="3"/>
        <v>115</v>
      </c>
      <c r="D49" s="143">
        <f t="shared" si="4"/>
        <v>20.434059130434783</v>
      </c>
      <c r="E49" s="139">
        <f t="shared" si="5"/>
        <v>14.268913043478259</v>
      </c>
    </row>
    <row r="50" spans="1:5" x14ac:dyDescent="0.35">
      <c r="A50" s="169">
        <v>47</v>
      </c>
      <c r="B50" s="170"/>
      <c r="C50" s="134">
        <f t="shared" si="3"/>
        <v>117.5</v>
      </c>
      <c r="D50" s="143">
        <f t="shared" si="4"/>
        <v>19.999291914893618</v>
      </c>
      <c r="E50" s="139">
        <f t="shared" si="5"/>
        <v>13.965319148936167</v>
      </c>
    </row>
    <row r="51" spans="1:5" x14ac:dyDescent="0.35">
      <c r="A51" s="169">
        <v>48</v>
      </c>
      <c r="B51" s="170"/>
      <c r="C51" s="134">
        <f t="shared" si="3"/>
        <v>120</v>
      </c>
      <c r="D51" s="143">
        <f t="shared" si="4"/>
        <v>19.582640000000001</v>
      </c>
      <c r="E51" s="139">
        <f t="shared" si="5"/>
        <v>13.674374999999998</v>
      </c>
    </row>
    <row r="52" spans="1:5" x14ac:dyDescent="0.35">
      <c r="A52" s="169">
        <v>49</v>
      </c>
      <c r="B52" s="170"/>
      <c r="C52" s="134">
        <f t="shared" si="3"/>
        <v>122.5</v>
      </c>
      <c r="D52" s="143">
        <f t="shared" si="4"/>
        <v>19.182994285714287</v>
      </c>
      <c r="E52" s="139">
        <f t="shared" si="5"/>
        <v>13.395306122448977</v>
      </c>
    </row>
    <row r="53" spans="1:5" x14ac:dyDescent="0.35">
      <c r="A53" s="169">
        <v>50</v>
      </c>
      <c r="B53" s="170"/>
      <c r="C53" s="134">
        <f t="shared" si="3"/>
        <v>125</v>
      </c>
      <c r="D53" s="143">
        <f t="shared" si="4"/>
        <v>18.799334399999999</v>
      </c>
      <c r="E53" s="139">
        <f t="shared" si="5"/>
        <v>13.127399999999998</v>
      </c>
    </row>
    <row r="54" spans="1:5" x14ac:dyDescent="0.35">
      <c r="A54" s="169">
        <v>51</v>
      </c>
      <c r="B54" s="170"/>
      <c r="C54" s="134">
        <f t="shared" si="3"/>
        <v>127.5</v>
      </c>
      <c r="D54" s="143">
        <f t="shared" si="4"/>
        <v>18.430720000000001</v>
      </c>
      <c r="E54" s="139">
        <f t="shared" si="5"/>
        <v>12.869999999999997</v>
      </c>
    </row>
    <row r="55" spans="1:5" x14ac:dyDescent="0.35">
      <c r="A55" s="169">
        <v>52</v>
      </c>
      <c r="B55" s="170"/>
      <c r="C55" s="134">
        <f t="shared" si="3"/>
        <v>130</v>
      </c>
      <c r="D55" s="143">
        <f t="shared" si="4"/>
        <v>18.076283076923076</v>
      </c>
      <c r="E55" s="139">
        <f t="shared" si="5"/>
        <v>12.622499999999999</v>
      </c>
    </row>
    <row r="56" spans="1:5" x14ac:dyDescent="0.35">
      <c r="A56" s="169">
        <v>53</v>
      </c>
      <c r="B56" s="170"/>
      <c r="C56" s="134">
        <f t="shared" si="3"/>
        <v>132.5</v>
      </c>
      <c r="D56" s="143">
        <f t="shared" si="4"/>
        <v>17.735221132075473</v>
      </c>
      <c r="E56" s="139">
        <f t="shared" si="5"/>
        <v>12.384339622641507</v>
      </c>
    </row>
    <row r="57" spans="1:5" x14ac:dyDescent="0.35">
      <c r="A57" s="169">
        <v>54</v>
      </c>
      <c r="B57" s="170"/>
      <c r="C57" s="134">
        <f t="shared" si="3"/>
        <v>135</v>
      </c>
      <c r="D57" s="143">
        <f t="shared" si="4"/>
        <v>17.406791111111112</v>
      </c>
      <c r="E57" s="139">
        <f t="shared" si="5"/>
        <v>12.154999999999998</v>
      </c>
    </row>
    <row r="58" spans="1:5" x14ac:dyDescent="0.35">
      <c r="A58" s="169">
        <v>55</v>
      </c>
      <c r="B58" s="170"/>
      <c r="C58" s="134">
        <f t="shared" si="3"/>
        <v>137.5</v>
      </c>
      <c r="D58" s="143">
        <f t="shared" si="4"/>
        <v>17.090304</v>
      </c>
      <c r="E58" s="139">
        <f t="shared" si="5"/>
        <v>11.933999999999997</v>
      </c>
    </row>
    <row r="59" spans="1:5" x14ac:dyDescent="0.35">
      <c r="A59" s="169">
        <v>56</v>
      </c>
      <c r="B59" s="170"/>
      <c r="C59" s="134">
        <f t="shared" si="3"/>
        <v>140</v>
      </c>
      <c r="D59" s="143">
        <f t="shared" si="4"/>
        <v>16.785119999999999</v>
      </c>
      <c r="E59" s="139">
        <f t="shared" si="5"/>
        <v>11.720892857142855</v>
      </c>
    </row>
    <row r="60" spans="1:5" x14ac:dyDescent="0.35">
      <c r="A60" s="169">
        <v>57</v>
      </c>
      <c r="B60" s="170"/>
      <c r="C60" s="134">
        <f t="shared" si="3"/>
        <v>142.5</v>
      </c>
      <c r="D60" s="143">
        <f t="shared" si="4"/>
        <v>16.490644210526316</v>
      </c>
      <c r="E60" s="139">
        <f t="shared" si="5"/>
        <v>11.515263157894735</v>
      </c>
    </row>
    <row r="61" spans="1:5" x14ac:dyDescent="0.35">
      <c r="A61" s="169">
        <v>58</v>
      </c>
      <c r="B61" s="170"/>
      <c r="C61" s="134">
        <f t="shared" si="3"/>
        <v>145</v>
      </c>
      <c r="D61" s="143">
        <f t="shared" si="4"/>
        <v>16.20632275862069</v>
      </c>
      <c r="E61" s="139">
        <f t="shared" si="5"/>
        <v>11.316724137931033</v>
      </c>
    </row>
    <row r="62" spans="1:5" ht="21" thickBot="1" x14ac:dyDescent="0.4">
      <c r="A62" s="167">
        <v>59</v>
      </c>
      <c r="B62" s="168"/>
      <c r="C62" s="135">
        <f t="shared" si="3"/>
        <v>147.5</v>
      </c>
      <c r="D62" s="144">
        <f t="shared" si="4"/>
        <v>15.931639322033899</v>
      </c>
      <c r="E62" s="140">
        <f t="shared" si="5"/>
        <v>11.124915254237287</v>
      </c>
    </row>
    <row r="63" spans="1:5" x14ac:dyDescent="0.35">
      <c r="A63" s="173">
        <v>60</v>
      </c>
      <c r="B63" s="158"/>
      <c r="C63" s="136">
        <f t="shared" si="3"/>
        <v>150</v>
      </c>
      <c r="D63" s="142">
        <f t="shared" si="4"/>
        <v>15.666112</v>
      </c>
      <c r="E63" s="141">
        <f t="shared" si="5"/>
        <v>10.939499999999999</v>
      </c>
    </row>
    <row r="64" spans="1:5" x14ac:dyDescent="0.35">
      <c r="A64" s="169">
        <v>61</v>
      </c>
      <c r="B64" s="170"/>
      <c r="C64" s="134">
        <f t="shared" si="3"/>
        <v>152.5</v>
      </c>
      <c r="D64" s="143">
        <f t="shared" si="4"/>
        <v>15.409290491803279</v>
      </c>
      <c r="E64" s="139">
        <f t="shared" si="5"/>
        <v>10.760163934426227</v>
      </c>
    </row>
    <row r="65" spans="1:5" x14ac:dyDescent="0.35">
      <c r="A65" s="169">
        <v>62</v>
      </c>
      <c r="B65" s="170"/>
      <c r="C65" s="134">
        <f t="shared" si="3"/>
        <v>155</v>
      </c>
      <c r="D65" s="143">
        <f t="shared" si="4"/>
        <v>15.160753548387097</v>
      </c>
      <c r="E65" s="139">
        <f t="shared" si="5"/>
        <v>10.586612903225804</v>
      </c>
    </row>
    <row r="66" spans="1:5" x14ac:dyDescent="0.35">
      <c r="A66" s="169">
        <v>63</v>
      </c>
      <c r="B66" s="170"/>
      <c r="C66" s="134">
        <f t="shared" si="3"/>
        <v>157.5</v>
      </c>
      <c r="D66" s="143">
        <f t="shared" si="4"/>
        <v>14.920106666666667</v>
      </c>
      <c r="E66" s="139">
        <f t="shared" si="5"/>
        <v>10.418571428571427</v>
      </c>
    </row>
    <row r="67" spans="1:5" x14ac:dyDescent="0.35">
      <c r="A67" s="169">
        <v>64</v>
      </c>
      <c r="B67" s="170"/>
      <c r="C67" s="134">
        <f t="shared" si="3"/>
        <v>160</v>
      </c>
      <c r="D67" s="143">
        <f t="shared" si="4"/>
        <v>14.68698</v>
      </c>
      <c r="E67" s="139">
        <f t="shared" si="5"/>
        <v>10.255781249999998</v>
      </c>
    </row>
    <row r="68" spans="1:5" x14ac:dyDescent="0.35">
      <c r="A68" s="169">
        <v>65</v>
      </c>
      <c r="B68" s="170"/>
      <c r="C68" s="134">
        <f t="shared" si="3"/>
        <v>162.5</v>
      </c>
      <c r="D68" s="143">
        <f t="shared" si="4"/>
        <v>14.461026461538461</v>
      </c>
      <c r="E68" s="139">
        <f t="shared" si="5"/>
        <v>10.097999999999999</v>
      </c>
    </row>
    <row r="69" spans="1:5" x14ac:dyDescent="0.35">
      <c r="A69" s="169">
        <v>66</v>
      </c>
      <c r="B69" s="170"/>
      <c r="C69" s="134">
        <f t="shared" si="3"/>
        <v>165</v>
      </c>
      <c r="D69" s="143">
        <f t="shared" si="4"/>
        <v>14.24192</v>
      </c>
      <c r="E69" s="139">
        <f t="shared" si="5"/>
        <v>9.9449999999999985</v>
      </c>
    </row>
    <row r="70" spans="1:5" x14ac:dyDescent="0.35">
      <c r="A70" s="169">
        <v>67</v>
      </c>
      <c r="B70" s="170"/>
      <c r="C70" s="134">
        <f t="shared" si="3"/>
        <v>167.5</v>
      </c>
      <c r="D70" s="143">
        <f t="shared" si="4"/>
        <v>14.029354029850746</v>
      </c>
      <c r="E70" s="139">
        <f t="shared" si="5"/>
        <v>9.7965671641791037</v>
      </c>
    </row>
    <row r="71" spans="1:5" x14ac:dyDescent="0.35">
      <c r="A71" s="169">
        <v>68</v>
      </c>
      <c r="B71" s="170"/>
      <c r="C71" s="134">
        <f t="shared" si="3"/>
        <v>170</v>
      </c>
      <c r="D71" s="143">
        <f t="shared" si="4"/>
        <v>13.823040000000001</v>
      </c>
      <c r="E71" s="139">
        <f t="shared" si="5"/>
        <v>9.6524999999999981</v>
      </c>
    </row>
    <row r="72" spans="1:5" x14ac:dyDescent="0.35">
      <c r="A72" s="169">
        <v>69</v>
      </c>
      <c r="B72" s="170"/>
      <c r="C72" s="134">
        <f t="shared" si="3"/>
        <v>172.5</v>
      </c>
      <c r="D72" s="143">
        <f t="shared" si="4"/>
        <v>13.622706086956521</v>
      </c>
      <c r="E72" s="139">
        <f t="shared" si="5"/>
        <v>9.5126086956521725</v>
      </c>
    </row>
    <row r="73" spans="1:5" x14ac:dyDescent="0.35">
      <c r="A73" s="169">
        <v>70</v>
      </c>
      <c r="B73" s="170"/>
      <c r="C73" s="134">
        <f t="shared" si="3"/>
        <v>175</v>
      </c>
      <c r="D73" s="143">
        <f t="shared" si="4"/>
        <v>13.428096</v>
      </c>
      <c r="E73" s="139">
        <f t="shared" si="5"/>
        <v>9.376714285714284</v>
      </c>
    </row>
    <row r="74" spans="1:5" x14ac:dyDescent="0.35">
      <c r="A74" s="169">
        <v>71</v>
      </c>
      <c r="B74" s="170"/>
      <c r="C74" s="134">
        <f t="shared" si="3"/>
        <v>177.5</v>
      </c>
      <c r="D74" s="143">
        <f t="shared" si="4"/>
        <v>13.238967887323943</v>
      </c>
      <c r="E74" s="139">
        <f t="shared" si="5"/>
        <v>9.2446478873239428</v>
      </c>
    </row>
    <row r="75" spans="1:5" x14ac:dyDescent="0.35">
      <c r="A75" s="169">
        <v>72</v>
      </c>
      <c r="B75" s="170"/>
      <c r="C75" s="134">
        <f t="shared" si="3"/>
        <v>180</v>
      </c>
      <c r="D75" s="143">
        <f t="shared" si="4"/>
        <v>13.055093333333334</v>
      </c>
      <c r="E75" s="139">
        <f t="shared" si="5"/>
        <v>9.1162499999999991</v>
      </c>
    </row>
    <row r="76" spans="1:5" x14ac:dyDescent="0.35">
      <c r="A76" s="169">
        <v>73</v>
      </c>
      <c r="B76" s="170"/>
      <c r="C76" s="134">
        <f t="shared" si="3"/>
        <v>182.5</v>
      </c>
      <c r="D76" s="143">
        <f t="shared" si="4"/>
        <v>12.876256438356165</v>
      </c>
      <c r="E76" s="139">
        <f t="shared" si="5"/>
        <v>8.9913698630136967</v>
      </c>
    </row>
    <row r="77" spans="1:5" x14ac:dyDescent="0.35">
      <c r="A77" s="169">
        <v>74</v>
      </c>
      <c r="B77" s="170"/>
      <c r="C77" s="134">
        <f t="shared" ref="C77:C103" si="6">(A77/100)*$E$5</f>
        <v>185</v>
      </c>
      <c r="D77" s="143">
        <f t="shared" ref="D77:D103" si="7">($E$7*100)/A77</f>
        <v>12.702252972972973</v>
      </c>
      <c r="E77" s="139">
        <f t="shared" ref="E77:E103" si="8">($E$8*100)/A77</f>
        <v>8.8698648648648639</v>
      </c>
    </row>
    <row r="78" spans="1:5" x14ac:dyDescent="0.35">
      <c r="A78" s="169">
        <v>75</v>
      </c>
      <c r="B78" s="170"/>
      <c r="C78" s="134">
        <f t="shared" si="6"/>
        <v>187.5</v>
      </c>
      <c r="D78" s="143">
        <f t="shared" si="7"/>
        <v>12.532889600000001</v>
      </c>
      <c r="E78" s="139">
        <f t="shared" si="8"/>
        <v>8.751599999999998</v>
      </c>
    </row>
    <row r="79" spans="1:5" x14ac:dyDescent="0.35">
      <c r="A79" s="169">
        <v>76</v>
      </c>
      <c r="B79" s="170"/>
      <c r="C79" s="134">
        <f t="shared" si="6"/>
        <v>190</v>
      </c>
      <c r="D79" s="143">
        <f t="shared" si="7"/>
        <v>12.367983157894736</v>
      </c>
      <c r="E79" s="139">
        <f t="shared" si="8"/>
        <v>8.6364473684210505</v>
      </c>
    </row>
    <row r="80" spans="1:5" x14ac:dyDescent="0.35">
      <c r="A80" s="169">
        <v>77</v>
      </c>
      <c r="B80" s="170"/>
      <c r="C80" s="134">
        <f t="shared" si="6"/>
        <v>192.5</v>
      </c>
      <c r="D80" s="143">
        <f t="shared" si="7"/>
        <v>12.20736</v>
      </c>
      <c r="E80" s="139">
        <f t="shared" si="8"/>
        <v>8.5242857142857122</v>
      </c>
    </row>
    <row r="81" spans="1:5" x14ac:dyDescent="0.35">
      <c r="A81" s="169">
        <v>78</v>
      </c>
      <c r="B81" s="170"/>
      <c r="C81" s="134">
        <f t="shared" si="6"/>
        <v>195</v>
      </c>
      <c r="D81" s="143">
        <f t="shared" si="7"/>
        <v>12.050855384615385</v>
      </c>
      <c r="E81" s="139">
        <f t="shared" si="8"/>
        <v>8.4149999999999991</v>
      </c>
    </row>
    <row r="82" spans="1:5" x14ac:dyDescent="0.35">
      <c r="A82" s="169">
        <v>79</v>
      </c>
      <c r="B82" s="170"/>
      <c r="C82" s="134">
        <f t="shared" si="6"/>
        <v>197.5</v>
      </c>
      <c r="D82" s="143">
        <f t="shared" si="7"/>
        <v>11.898312911392406</v>
      </c>
      <c r="E82" s="139">
        <f t="shared" si="8"/>
        <v>8.3084810126582269</v>
      </c>
    </row>
    <row r="83" spans="1:5" x14ac:dyDescent="0.35">
      <c r="A83" s="169">
        <v>80</v>
      </c>
      <c r="B83" s="170"/>
      <c r="C83" s="134">
        <f t="shared" si="6"/>
        <v>200</v>
      </c>
      <c r="D83" s="143">
        <f t="shared" si="7"/>
        <v>11.749584</v>
      </c>
      <c r="E83" s="139">
        <f t="shared" si="8"/>
        <v>8.2046249999999983</v>
      </c>
    </row>
    <row r="84" spans="1:5" x14ac:dyDescent="0.35">
      <c r="A84" s="169">
        <v>81</v>
      </c>
      <c r="B84" s="170"/>
      <c r="C84" s="134">
        <f t="shared" si="6"/>
        <v>202.5</v>
      </c>
      <c r="D84" s="143">
        <f t="shared" si="7"/>
        <v>11.604527407407408</v>
      </c>
      <c r="E84" s="139">
        <f t="shared" si="8"/>
        <v>8.1033333333333317</v>
      </c>
    </row>
    <row r="85" spans="1:5" x14ac:dyDescent="0.35">
      <c r="A85" s="169">
        <v>82</v>
      </c>
      <c r="B85" s="170"/>
      <c r="C85" s="134">
        <f t="shared" si="6"/>
        <v>205</v>
      </c>
      <c r="D85" s="143">
        <f t="shared" si="7"/>
        <v>11.463008780487804</v>
      </c>
      <c r="E85" s="139">
        <f t="shared" si="8"/>
        <v>8.0045121951219507</v>
      </c>
    </row>
    <row r="86" spans="1:5" x14ac:dyDescent="0.35">
      <c r="A86" s="169">
        <v>83</v>
      </c>
      <c r="B86" s="170"/>
      <c r="C86" s="134">
        <f t="shared" si="6"/>
        <v>207.5</v>
      </c>
      <c r="D86" s="143">
        <f t="shared" si="7"/>
        <v>11.324900240963856</v>
      </c>
      <c r="E86" s="139">
        <f t="shared" si="8"/>
        <v>7.9080722891566255</v>
      </c>
    </row>
    <row r="87" spans="1:5" x14ac:dyDescent="0.35">
      <c r="A87" s="169">
        <v>84</v>
      </c>
      <c r="B87" s="170"/>
      <c r="C87" s="134">
        <f t="shared" si="6"/>
        <v>210</v>
      </c>
      <c r="D87" s="143">
        <f t="shared" si="7"/>
        <v>11.19008</v>
      </c>
      <c r="E87" s="139">
        <f t="shared" si="8"/>
        <v>7.81392857142857</v>
      </c>
    </row>
    <row r="88" spans="1:5" x14ac:dyDescent="0.35">
      <c r="A88" s="169">
        <v>85</v>
      </c>
      <c r="B88" s="170"/>
      <c r="C88" s="134">
        <f t="shared" si="6"/>
        <v>212.5</v>
      </c>
      <c r="D88" s="143">
        <f t="shared" si="7"/>
        <v>11.058432</v>
      </c>
      <c r="E88" s="139">
        <f t="shared" si="8"/>
        <v>7.7219999999999986</v>
      </c>
    </row>
    <row r="89" spans="1:5" x14ac:dyDescent="0.35">
      <c r="A89" s="169">
        <v>86</v>
      </c>
      <c r="B89" s="170"/>
      <c r="C89" s="134">
        <f t="shared" si="6"/>
        <v>215</v>
      </c>
      <c r="D89" s="143">
        <f t="shared" si="7"/>
        <v>10.929845581395348</v>
      </c>
      <c r="E89" s="139">
        <f t="shared" si="8"/>
        <v>7.6322093023255801</v>
      </c>
    </row>
    <row r="90" spans="1:5" x14ac:dyDescent="0.35">
      <c r="A90" s="169">
        <v>87</v>
      </c>
      <c r="B90" s="170"/>
      <c r="C90" s="134">
        <f t="shared" si="6"/>
        <v>217.5</v>
      </c>
      <c r="D90" s="143">
        <f t="shared" si="7"/>
        <v>10.804215172413793</v>
      </c>
      <c r="E90" s="139">
        <f t="shared" si="8"/>
        <v>7.5444827586206884</v>
      </c>
    </row>
    <row r="91" spans="1:5" x14ac:dyDescent="0.35">
      <c r="A91" s="169">
        <v>88</v>
      </c>
      <c r="B91" s="170"/>
      <c r="C91" s="134">
        <f t="shared" si="6"/>
        <v>220</v>
      </c>
      <c r="D91" s="143">
        <f t="shared" si="7"/>
        <v>10.68144</v>
      </c>
      <c r="E91" s="139">
        <f t="shared" si="8"/>
        <v>7.4587499999999984</v>
      </c>
    </row>
    <row r="92" spans="1:5" x14ac:dyDescent="0.35">
      <c r="A92" s="169">
        <v>89</v>
      </c>
      <c r="B92" s="170"/>
      <c r="C92" s="134">
        <f t="shared" si="6"/>
        <v>222.5</v>
      </c>
      <c r="D92" s="143">
        <f t="shared" si="7"/>
        <v>10.56142382022472</v>
      </c>
      <c r="E92" s="139">
        <f t="shared" si="8"/>
        <v>7.3749438202247175</v>
      </c>
    </row>
    <row r="93" spans="1:5" x14ac:dyDescent="0.35">
      <c r="A93" s="169">
        <v>90</v>
      </c>
      <c r="B93" s="170"/>
      <c r="C93" s="134">
        <f t="shared" si="6"/>
        <v>225</v>
      </c>
      <c r="D93" s="143">
        <f t="shared" si="7"/>
        <v>10.444074666666667</v>
      </c>
      <c r="E93" s="139">
        <f t="shared" si="8"/>
        <v>7.2929999999999984</v>
      </c>
    </row>
    <row r="94" spans="1:5" x14ac:dyDescent="0.35">
      <c r="A94" s="169">
        <v>91</v>
      </c>
      <c r="B94" s="170"/>
      <c r="C94" s="134">
        <f t="shared" si="6"/>
        <v>227.5</v>
      </c>
      <c r="D94" s="143">
        <f t="shared" si="7"/>
        <v>10.329304615384615</v>
      </c>
      <c r="E94" s="139">
        <f t="shared" si="8"/>
        <v>7.2128571428571417</v>
      </c>
    </row>
    <row r="95" spans="1:5" x14ac:dyDescent="0.35">
      <c r="A95" s="169">
        <v>92</v>
      </c>
      <c r="B95" s="170"/>
      <c r="C95" s="134">
        <f t="shared" si="6"/>
        <v>230</v>
      </c>
      <c r="D95" s="143">
        <f t="shared" si="7"/>
        <v>10.217029565217391</v>
      </c>
      <c r="E95" s="139">
        <f t="shared" si="8"/>
        <v>7.1344565217391294</v>
      </c>
    </row>
    <row r="96" spans="1:5" x14ac:dyDescent="0.35">
      <c r="A96" s="169">
        <v>93</v>
      </c>
      <c r="B96" s="170"/>
      <c r="C96" s="134">
        <f t="shared" si="6"/>
        <v>232.5</v>
      </c>
      <c r="D96" s="143">
        <f t="shared" si="7"/>
        <v>10.107169032258065</v>
      </c>
      <c r="E96" s="139">
        <f t="shared" si="8"/>
        <v>7.05774193548387</v>
      </c>
    </row>
    <row r="97" spans="1:5" x14ac:dyDescent="0.35">
      <c r="A97" s="169">
        <v>94</v>
      </c>
      <c r="B97" s="170"/>
      <c r="C97" s="134">
        <f t="shared" si="6"/>
        <v>235</v>
      </c>
      <c r="D97" s="143">
        <f t="shared" si="7"/>
        <v>9.9996459574468091</v>
      </c>
      <c r="E97" s="139">
        <f t="shared" si="8"/>
        <v>6.9826595744680837</v>
      </c>
    </row>
    <row r="98" spans="1:5" x14ac:dyDescent="0.35">
      <c r="A98" s="169">
        <v>95</v>
      </c>
      <c r="B98" s="170"/>
      <c r="C98" s="134">
        <f t="shared" si="6"/>
        <v>237.5</v>
      </c>
      <c r="D98" s="143">
        <f t="shared" si="7"/>
        <v>9.89438652631579</v>
      </c>
      <c r="E98" s="139">
        <f t="shared" si="8"/>
        <v>6.9091578947368406</v>
      </c>
    </row>
    <row r="99" spans="1:5" x14ac:dyDescent="0.35">
      <c r="A99" s="169">
        <v>96</v>
      </c>
      <c r="B99" s="170"/>
      <c r="C99" s="134">
        <f t="shared" si="6"/>
        <v>240</v>
      </c>
      <c r="D99" s="143">
        <f t="shared" si="7"/>
        <v>9.7913200000000007</v>
      </c>
      <c r="E99" s="139">
        <f t="shared" si="8"/>
        <v>6.8371874999999989</v>
      </c>
    </row>
    <row r="100" spans="1:5" x14ac:dyDescent="0.35">
      <c r="A100" s="169">
        <v>97</v>
      </c>
      <c r="B100" s="170"/>
      <c r="C100" s="134">
        <f t="shared" si="6"/>
        <v>242.5</v>
      </c>
      <c r="D100" s="143">
        <f t="shared" si="7"/>
        <v>9.690378556701031</v>
      </c>
      <c r="E100" s="139">
        <f t="shared" si="8"/>
        <v>6.7667010309278339</v>
      </c>
    </row>
    <row r="101" spans="1:5" x14ac:dyDescent="0.35">
      <c r="A101" s="169">
        <v>98</v>
      </c>
      <c r="B101" s="170"/>
      <c r="C101" s="134">
        <f t="shared" si="6"/>
        <v>245</v>
      </c>
      <c r="D101" s="143">
        <f t="shared" si="7"/>
        <v>9.5914971428571434</v>
      </c>
      <c r="E101" s="139">
        <f t="shared" si="8"/>
        <v>6.6976530612244884</v>
      </c>
    </row>
    <row r="102" spans="1:5" x14ac:dyDescent="0.35">
      <c r="A102" s="169">
        <v>99</v>
      </c>
      <c r="B102" s="170"/>
      <c r="C102" s="134">
        <f t="shared" si="6"/>
        <v>247.5</v>
      </c>
      <c r="D102" s="143">
        <f t="shared" si="7"/>
        <v>9.4946133333333336</v>
      </c>
      <c r="E102" s="139">
        <f t="shared" si="8"/>
        <v>6.629999999999999</v>
      </c>
    </row>
    <row r="103" spans="1:5" ht="21" thickBot="1" x14ac:dyDescent="0.4">
      <c r="A103" s="167">
        <v>100</v>
      </c>
      <c r="B103" s="168"/>
      <c r="C103" s="135">
        <f t="shared" si="6"/>
        <v>250</v>
      </c>
      <c r="D103" s="144">
        <f t="shared" si="7"/>
        <v>9.3996671999999997</v>
      </c>
      <c r="E103" s="140">
        <f t="shared" si="8"/>
        <v>6.563699999999999</v>
      </c>
    </row>
    <row r="104" spans="1:5" x14ac:dyDescent="0.35">
      <c r="A104" s="174"/>
      <c r="B104" s="174"/>
      <c r="C104" s="11"/>
    </row>
  </sheetData>
  <mergeCells count="104">
    <mergeCell ref="A2:E2"/>
    <mergeCell ref="A1:E1"/>
    <mergeCell ref="A13:B13"/>
    <mergeCell ref="A12:B12"/>
    <mergeCell ref="A5:B5"/>
    <mergeCell ref="A3:B3"/>
    <mergeCell ref="A4:B4"/>
    <mergeCell ref="A6:B6"/>
    <mergeCell ref="A8:B8"/>
    <mergeCell ref="A7:B7"/>
    <mergeCell ref="A18:B18"/>
    <mergeCell ref="A37:B37"/>
    <mergeCell ref="A14:B14"/>
    <mergeCell ref="A17:B17"/>
    <mergeCell ref="A22:B22"/>
    <mergeCell ref="A21:B21"/>
    <mergeCell ref="A24:B24"/>
    <mergeCell ref="A23:B23"/>
    <mergeCell ref="A16:B16"/>
    <mergeCell ref="A15:B15"/>
    <mergeCell ref="A46:B46"/>
    <mergeCell ref="A45:B45"/>
    <mergeCell ref="A43:B43"/>
    <mergeCell ref="A42:B42"/>
    <mergeCell ref="A19:B19"/>
    <mergeCell ref="A26:B26"/>
    <mergeCell ref="A25:B25"/>
    <mergeCell ref="A35:B35"/>
    <mergeCell ref="A34:B34"/>
    <mergeCell ref="A39:B39"/>
    <mergeCell ref="A38:B38"/>
    <mergeCell ref="A44:B44"/>
    <mergeCell ref="A20:B20"/>
    <mergeCell ref="A36:B36"/>
    <mergeCell ref="A41:B41"/>
    <mergeCell ref="A40:B40"/>
    <mergeCell ref="A29:B29"/>
    <mergeCell ref="A28:B28"/>
    <mergeCell ref="A27:B27"/>
    <mergeCell ref="A33:B33"/>
    <mergeCell ref="A32:B32"/>
    <mergeCell ref="A31:B31"/>
    <mergeCell ref="A30:B30"/>
    <mergeCell ref="A47:B47"/>
    <mergeCell ref="A49:B49"/>
    <mergeCell ref="A48:B48"/>
    <mergeCell ref="A58:B58"/>
    <mergeCell ref="A57:B57"/>
    <mergeCell ref="A56:B56"/>
    <mergeCell ref="A55:B55"/>
    <mergeCell ref="A54:B54"/>
    <mergeCell ref="A104:B104"/>
    <mergeCell ref="A51:B51"/>
    <mergeCell ref="A50:B50"/>
    <mergeCell ref="A52:B52"/>
    <mergeCell ref="A53:B53"/>
    <mergeCell ref="A61:B61"/>
    <mergeCell ref="A60:B60"/>
    <mergeCell ref="A66:B66"/>
    <mergeCell ref="A65:B65"/>
    <mergeCell ref="A64:B64"/>
    <mergeCell ref="A75:B75"/>
    <mergeCell ref="A63:B63"/>
    <mergeCell ref="A59:B59"/>
    <mergeCell ref="A62:B62"/>
    <mergeCell ref="A72:B72"/>
    <mergeCell ref="A71:B71"/>
    <mergeCell ref="A70:B70"/>
    <mergeCell ref="A69:B69"/>
    <mergeCell ref="A68:B68"/>
    <mergeCell ref="A67:B67"/>
    <mergeCell ref="A84:B84"/>
    <mergeCell ref="A83:B83"/>
    <mergeCell ref="A82:B82"/>
    <mergeCell ref="A81:B81"/>
    <mergeCell ref="A80:B80"/>
    <mergeCell ref="A79:B79"/>
    <mergeCell ref="A78:B78"/>
    <mergeCell ref="A77:B77"/>
    <mergeCell ref="A76:B76"/>
    <mergeCell ref="A103:B103"/>
    <mergeCell ref="A102:B102"/>
    <mergeCell ref="A101:B101"/>
    <mergeCell ref="A9:B9"/>
    <mergeCell ref="A10:B10"/>
    <mergeCell ref="A11:B11"/>
    <mergeCell ref="A97:B97"/>
    <mergeCell ref="A98:B98"/>
    <mergeCell ref="A99:B99"/>
    <mergeCell ref="A100:B100"/>
    <mergeCell ref="A95:B95"/>
    <mergeCell ref="A96:B96"/>
    <mergeCell ref="A92:B92"/>
    <mergeCell ref="A91:B91"/>
    <mergeCell ref="A86:B86"/>
    <mergeCell ref="A85:B85"/>
    <mergeCell ref="A93:B93"/>
    <mergeCell ref="A94:B94"/>
    <mergeCell ref="A90:B90"/>
    <mergeCell ref="A89:B89"/>
    <mergeCell ref="A88:B88"/>
    <mergeCell ref="A87:B87"/>
    <mergeCell ref="A74:B74"/>
    <mergeCell ref="A73:B73"/>
  </mergeCells>
  <phoneticPr fontId="0" type="noConversion"/>
  <pageMargins left="0.82" right="0.78740157499999996" top="0.35" bottom="0.984251969" header="0.31" footer="0.49212598499999999"/>
  <pageSetup scale="57" orientation="portrait" horizontalDpi="1200" verticalDpi="1200" r:id="rId1"/>
  <headerFooter alignWithMargins="0"/>
  <rowBreaks count="1" manualBreakCount="1">
    <brk id="62" max="4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Planilhas</vt:lpstr>
      </vt:variant>
      <vt:variant>
        <vt:i4>6</vt:i4>
      </vt:variant>
      <vt:variant>
        <vt:lpstr>Gráficos</vt:lpstr>
      </vt:variant>
      <vt:variant>
        <vt:i4>6</vt:i4>
      </vt:variant>
      <vt:variant>
        <vt:lpstr>Intervalos Nomeados</vt:lpstr>
      </vt:variant>
      <vt:variant>
        <vt:i4>4</vt:i4>
      </vt:variant>
    </vt:vector>
  </HeadingPairs>
  <TitlesOfParts>
    <vt:vector size="16" baseType="lpstr">
      <vt:lpstr>Capa</vt:lpstr>
      <vt:lpstr>Uniformidade dados</vt:lpstr>
      <vt:lpstr>Hidro dados</vt:lpstr>
      <vt:lpstr>Adequabilidade dados</vt:lpstr>
      <vt:lpstr>Planilha1</vt:lpstr>
      <vt:lpstr>Tabela de Controle do PC</vt:lpstr>
      <vt:lpstr>Uniformidade grafico</vt:lpstr>
      <vt:lpstr>Hidro gráfico DxVxP</vt:lpstr>
      <vt:lpstr>Hidro Gráfico Diametro</vt:lpstr>
      <vt:lpstr>Hidro Gráfico Vazão atual </vt:lpstr>
      <vt:lpstr>Hidro Gráfico vazão ajustada</vt:lpstr>
      <vt:lpstr>Adequabilidade Gráfico</vt:lpstr>
      <vt:lpstr>'Adequabilidade dados'!Area_de_impressao</vt:lpstr>
      <vt:lpstr>'Hidro dados'!Area_de_impressao</vt:lpstr>
      <vt:lpstr>'Tabela de Controle do PC'!Area_de_impressao</vt:lpstr>
      <vt:lpstr>'Uniformidade dados'!Area_de_impressao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</dc:creator>
  <cp:lastModifiedBy>CARLOS HENRIQUE</cp:lastModifiedBy>
  <cp:lastPrinted>2025-02-12T19:22:18Z</cp:lastPrinted>
  <dcterms:created xsi:type="dcterms:W3CDTF">2002-12-23T11:42:09Z</dcterms:created>
  <dcterms:modified xsi:type="dcterms:W3CDTF">2026-06-15T01:38:46Z</dcterms:modified>
</cp:coreProperties>
</file>